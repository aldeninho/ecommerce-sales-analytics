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e20914173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fa6e2f1c484495a"/>
    <x:sheet xmlns:r="http://schemas.openxmlformats.org/officeDocument/2006/relationships" name="Targets &amp; Variance" sheetId="2" r:id="R9fbd3e9f3da142d9"/>
    <x:sheet xmlns:r="http://schemas.openxmlformats.org/officeDocument/2006/relationships" name="Customer RFM" sheetId="3" r:id="Rebf9c3ed172143b6"/>
    <x:sheet xmlns:r="http://schemas.openxmlformats.org/officeDocument/2006/relationships" name="Cohort Retention" sheetId="4" r:id="R357d0ef732f14a24"/>
    <x:sheet xmlns:r="http://schemas.openxmlformats.org/officeDocument/2006/relationships" name="Monthly Analysis" sheetId="5" r:id="R03e6c9d6b6c8485e"/>
    <x:sheet xmlns:r="http://schemas.openxmlformats.org/officeDocument/2006/relationships" name="Category Analysis" sheetId="6" r:id="Rde1a661f8eec480c"/>
    <x:sheet xmlns:r="http://schemas.openxmlformats.org/officeDocument/2006/relationships" name="Region Analysis" sheetId="7" r:id="R3e394f28cc0a45e0"/>
    <x:sheet xmlns:r="http://schemas.openxmlformats.org/officeDocument/2006/relationships" name="Customer Analysis" sheetId="8" r:id="R4f83a0ab8d6a448b"/>
    <x:sheet xmlns:r="http://schemas.openxmlformats.org/officeDocument/2006/relationships" name="Validation" sheetId="9" r:id="Raddf14e0b08a4b2c"/>
    <x:sheet xmlns:r="http://schemas.openxmlformats.org/officeDocument/2006/relationships" name="Data Dictionary" sheetId="10" r:id="Rf023f3936dc3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#,##0"/>
    <x:numFmt numFmtId="202" formatCode="0.0%"/>
    <x:numFmt numFmtId="203" formatCode="$#,##0"/>
  </x:numFmts>
  <x:fonts count="9">
    <x:font>
      <x:sz val="11"/>
      <x:name val="Carlito"/>
    </x:font>
    <x:font>
      <x:b/>
      <x:sz val="16"/>
      <x:color rgb="FF0F172A"/>
      <x:name val="Arial"/>
    </x:font>
    <x:font>
      <x:b/>
      <x:sz val="11"/>
      <x:color rgb="FFFFFFFF"/>
      <x:name val="Arial"/>
    </x:font>
    <x:font>
      <x:b/>
      <x:sz val="14"/>
      <x:color rgb="FF0F172A"/>
      <x:name val="Arial"/>
    </x:font>
    <x:font>
      <x:i/>
      <x:sz val="9"/>
      <x:color rgb="FF475569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2">
    <x:border/>
    <x:border>
      <x:bottom style="thin">
        <x:color rgb="FF94A3B8"/>
      </x:bottom>
    </x:border>
  </x:borders>
  <x:cellStyleXfs count="1">
    <x:xf numFmtId="0" fontId="0" fillId="0" borderId="0"/>
  </x:cellStyleXfs>
  <x:cellXfs count="3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3" fontId="3" fillId="3" borderId="0" xfId="0" applyNumberFormat="1" applyFont="1" applyFill="1" applyBorder="1"/>
    <x:xf numFmtId="203" fontId="3" fillId="3" borderId="0" xfId="0" applyNumberFormat="1" applyFont="1" applyFill="1" applyBorder="1" applyAlignment="1">
      <x:alignment horizontal="center"/>
    </x:xf>
    <x:xf numFmtId="201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2" fontId="3" fillId="5" borderId="0" xfId="0" applyNumberFormat="1" applyFont="1" applyFill="1" applyBorder="1"/>
    <x:xf numFmtId="202" fontId="3" fillId="5" borderId="0" xfId="0" applyNumberFormat="1" applyFont="1" applyFill="1" applyBorder="1" applyAlignment="1">
      <x:alignment horizontal="center"/>
    </x:xf>
    <x:xf numFmtId="203" fontId="3" fillId="5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203" fontId="6" fillId="3" borderId="0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202" fontId="6" fillId="5" borderId="0" xfId="0" applyNumberFormat="1" applyFont="1" applyFill="1" applyBorder="1" applyAlignment="1">
      <x:alignment horizontal="center"/>
    </x:xf>
    <x:xf numFmtId="203" fontId="6" fillId="5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11a00cfab4c8b" /><Relationship Type="http://schemas.openxmlformats.org/officeDocument/2006/relationships/theme" Target="/xl/theme/theme1.xml" Id="Rafdc303197144859" /><Relationship Type="http://schemas.openxmlformats.org/officeDocument/2006/relationships/sharedStrings" Target="/xl/sharedStrings.xml" Id="R2584fa88dc584880" /><Relationship Type="http://schemas.openxmlformats.org/officeDocument/2006/relationships/worksheet" Target="/xl/worksheets/sheet1.xml" Id="Refa6e2f1c484495a" /><Relationship Type="http://schemas.openxmlformats.org/officeDocument/2006/relationships/worksheet" Target="/xl/worksheets/sheet2.xml" Id="R9fbd3e9f3da142d9" /><Relationship Type="http://schemas.openxmlformats.org/officeDocument/2006/relationships/worksheet" Target="/xl/worksheets/sheet3.xml" Id="Rebf9c3ed172143b6" /><Relationship Type="http://schemas.openxmlformats.org/officeDocument/2006/relationships/worksheet" Target="/xl/worksheets/sheet4.xml" Id="R357d0ef732f14a24" /><Relationship Type="http://schemas.openxmlformats.org/officeDocument/2006/relationships/worksheet" Target="/xl/worksheets/sheet5.xml" Id="R03e6c9d6b6c8485e" /><Relationship Type="http://schemas.openxmlformats.org/officeDocument/2006/relationships/worksheet" Target="/xl/worksheets/sheet6.xml" Id="Rde1a661f8eec480c" /><Relationship Type="http://schemas.openxmlformats.org/officeDocument/2006/relationships/worksheet" Target="/xl/worksheets/sheet7.xml" Id="R3e394f28cc0a45e0" /><Relationship Type="http://schemas.openxmlformats.org/officeDocument/2006/relationships/worksheet" Target="/xl/worksheets/sheet8.xml" Id="R4f83a0ab8d6a448b" /><Relationship Type="http://schemas.openxmlformats.org/officeDocument/2006/relationships/worksheet" Target="/xl/worksheets/sheet9.xml" Id="Raddf14e0b08a4b2c" /><Relationship Type="http://schemas.openxmlformats.org/officeDocument/2006/relationships/worksheet" Target="/xl/worksheets/sheet10.xml" Id="Rf023f3936dc342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c7f67991dc4fea" /><Relationship Type="http://schemas.openxmlformats.org/officeDocument/2006/relationships/chart" Target="/xl/drawings/charts/chart2.xml" Id="R05588e35529d4e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Net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'Dashboard'!$J$2:$J$25</c:f>
              <c:strCache>
                <c:ptCount val="0"/>
              </c:strCache>
            </c:strRef>
          </c:cat>
          <c:val>
            <c:numRef>
              <c:f>'Dashboard'!$K$2:$K$25</c:f>
              <c:numCache>
                <c:formatCode>$0,"K"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Net Revenue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cat>
            <c:strRef>
              <c:f>'Category Analysis'!$A$2:$A$5</c:f>
              <c:strCache>
                <c:ptCount val="0"/>
              </c:strCache>
            </c:strRef>
          </c:cat>
          <c:val>
            <c:numRef>
              <c:f>'Category Analysis'!$B$2:$B$5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c7f67991dc4fea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588e35529d4e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TargetVarianceTable" displayName="TargetVarianceTable" ref="A1:I25" headerRowCount="1" totalsRowCount="0" totalsRowShown="0">
  <x:tableColumns count="9">
    <x:tableColumn id="1" name="Month"/>
    <x:tableColumn id="2" name="Net Revenue"/>
    <x:tableColumn id="3" name="Revenue Target"/>
    <x:tableColumn id="4" name="Revenue Variance"/>
    <x:tableColumn id="5" name="Revenue Attainment"/>
    <x:tableColumn id="6" name="Contribution Profit"/>
    <x:tableColumn id="7" name="Contribution Target"/>
    <x:tableColumn id="8" name="Contribution Variance"/>
    <x:tableColumn id="9" name="Contribution Attain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RFMTable" displayName="RFMTable" ref="A1:L61" headerRowCount="1" totalsRowCount="0" totalsRowShown="0">
  <x:tableColumns count="12">
    <x:tableColumn id="1" name="Customer ID"/>
    <x:tableColumn id="2" name="Customer Name"/>
    <x:tableColumn id="3" name="Segment"/>
    <x:tableColumn id="4" name="Acquisition Channel"/>
    <x:tableColumn id="5" name="Last Purchase"/>
    <x:tableColumn id="6" name="Recency Days"/>
    <x:tableColumn id="7" name="Orders"/>
    <x:tableColumn id="8" name="Revenue"/>
    <x:tableColumn id="9" name="R Score"/>
    <x:tableColumn id="10" name="F Score"/>
    <x:tableColumn id="11" name="M Score"/>
    <x:tableColumn id="12" name="RFM Seg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CohortTable" displayName="CohortTable" ref="A1:H25" headerRowCount="1" totalsRowCount="0" totalsRowShown="0">
  <x:tableColumns count="8">
    <x:tableColumn id="1" name="Cohort"/>
    <x:tableColumn id="2" name="Customers"/>
    <x:tableColumn id="3" name="Month 0"/>
    <x:tableColumn id="4" name="Month 1"/>
    <x:tableColumn id="5" name="Month 2"/>
    <x:tableColumn id="6" name="Month 3"/>
    <x:tableColumn id="7" name="Month 6"/>
    <x:tableColumn id="8" name="Month 12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MonthlyTable" displayName="MonthlyTable" ref="A1:L25" headerRowCount="1" totalsRowCount="0" totalsRowShown="0">
  <x:tableColumns count="12">
    <x:tableColumn id="1" name="Month"/>
    <x:tableColumn id="2" name="Gross Sales"/>
    <x:tableColumn id="3" name="Net Revenue"/>
    <x:tableColumn id="4" name="Gross Profit"/>
    <x:tableColumn id="5" name="Contribution Profit"/>
    <x:tableColumn id="6" name="Total Orders"/>
    <x:tableColumn id="7" name="Completed Orders"/>
    <x:tableColumn id="8" name="AOV"/>
    <x:tableColumn id="9" name="Returned Orders"/>
    <x:tableColumn id="10" name="Cancelled Orders"/>
    <x:tableColumn id="11" name="Return Rate"/>
    <x:tableColumn id="12" name="MoM Net Reven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CategoryTable" displayName="CategoryTable" ref="A1:F5" headerRowCount="1" totalsRowCount="0" totalsRowShown="0">
  <x:tableColumns count="6">
    <x:tableColumn id="1" name="Name"/>
    <x:tableColumn id="2" name="Net Revenue"/>
    <x:tableColumn id="3" name="Gross Profit"/>
    <x:tableColumn id="4" name="Contribution Profit"/>
    <x:tableColumn id="5" name="Lost Revenue"/>
    <x:tableColumn id="6" name="Ord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gionTable" displayName="RegionTable" ref="A1:F5" headerRowCount="1" totalsRowCount="0" totalsRowShown="0">
  <x:tableColumns count="6">
    <x:tableColumn id="1" name="Name"/>
    <x:tableColumn id="2" name="Net Revenue"/>
    <x:tableColumn id="3" name="Gross Profit"/>
    <x:tableColumn id="4" name="Contribution Profit"/>
    <x:tableColumn id="5" name="Lost Revenue"/>
    <x:tableColumn id="6" name="Order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CustomerTable" displayName="CustomerTable" ref="A1:F21" headerRowCount="1" totalsRowCount="0" totalsRowShown="0">
  <x:tableColumns count="6">
    <x:tableColumn id="1" name="Customer ID"/>
    <x:tableColumn id="2" name="Customer Name"/>
    <x:tableColumn id="3" name="Segment"/>
    <x:tableColumn id="4" name="Net Revenue"/>
    <x:tableColumn id="5" name="Gross Profit"/>
    <x:tableColumn id="6" name="Orde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lidationTable" displayName="ValidationTable" ref="A1:D10" headerRowCount="1" totalsRowCount="0" totalsRowShown="0">
  <x:tableColumns count="4">
    <x:tableColumn id="1" name="Check"/>
    <x:tableColumn id="2" name="Actual"/>
    <x:tableColumn id="3" name="Expected"/>
    <x:tableColumn id="4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ionaryTable" displayName="DictionaryTable" ref="A1:C14" headerRowCount="1" totalsRowCount="0" totalsRowShown="0">
  <x:tableColumns count="3">
    <x:tableColumn id="1" name="Table"/>
    <x:tableColumn id="2" name="Field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21c57bc59443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e384e37a3e4d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f692d0ddd2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0d1bedb16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6b414db2794a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faa85ac453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a18829b47d45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eecfe5f66d4e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b0bdc0325f44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0b639ed6ab445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2" hidden="0" customWidth="1"/>
    <x:col min="11" max="11" width="2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J1" s="33" t="str">
        <x:v>Month</x:v>
      </x:c>
      <x:c r="K1" s="33" t="str">
        <x:v>Net Revenue</x:v>
      </x:c>
    </x:row>
    <x:row r="2">
      <x:c r="A2" s="4" t="str">
        <x:v>E-commerce Sales &amp; Customer Revenue Analytics</x:v>
      </x:c>
      <x:c r="B2" s="24" t="str">
        <x:v>E-commerce Sales &amp; Customer Revenue Analytics</x:v>
      </x:c>
      <x:c r="C2" s="24" t="str">
        <x:v>E-commerce Sales &amp; Customer Revenue Analytics</x:v>
      </x:c>
      <x:c r="D2" s="24" t="str">
        <x:v>E-commerce Sales &amp; Customer Revenue Analytics</x:v>
      </x:c>
      <x:c r="E2" s="24" t="str">
        <x:v>E-commerce Sales &amp; Customer Revenue Analytics</x:v>
      </x:c>
      <x:c r="F2" s="24" t="str">
        <x:v>E-commerce Sales &amp; Customer Revenue Analytics</x:v>
      </x:c>
      <x:c r="G2" s="24" t="str">
        <x:v>E-commerce Sales &amp; Customer Revenue Analytics</x:v>
      </x:c>
      <x:c r="H2" s="24" t="str">
        <x:v>E-commerce Sales &amp; Customer Revenue Analytics</x:v>
      </x:c>
      <x:c r="J2" s="33" t="str">
        <x:v>2024-01</x:v>
      </x:c>
      <x:c r="K2" s="33" t="n">
        <x:v>95583.31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J3" s="33" t="str">
        <x:v>2024-02</x:v>
      </x:c>
      <x:c r="K3" s="33" t="n">
        <x:v>94039.99</x:v>
      </x:c>
    </x:row>
    <x:row r="4">
      <x:c r="A4" s="23"/>
      <x:c r="B4" s="23"/>
      <x:c r="C4" s="23"/>
      <x:c r="D4" s="23"/>
      <x:c r="E4" s="23"/>
      <x:c r="F4" s="23"/>
      <x:c r="G4" s="23"/>
      <x:c r="H4" s="23"/>
      <x:c r="J4" s="33" t="str">
        <x:v>2024-03</x:v>
      </x:c>
      <x:c r="K4" s="33" t="n">
        <x:v>91374.76</x:v>
      </x:c>
    </x:row>
    <x:row r="5">
      <x:c r="A5" s="26" t="str">
        <x:v>Net Revenue</x:v>
      </x:c>
      <x:c r="B5" s="26" t="str"/>
      <x:c r="C5" s="26" t="str">
        <x:v>Orders</x:v>
      </x:c>
      <x:c r="D5" s="26" t="str"/>
      <x:c r="E5" s="26" t="str">
        <x:v>Average Order Value</x:v>
      </x:c>
      <x:c r="F5" s="26" t="str"/>
      <x:c r="G5" s="26" t="str">
        <x:v>Gross Profit</x:v>
      </x:c>
      <x:c r="H5" s="26" t="str"/>
      <x:c r="J5" s="33" t="str">
        <x:v>2024-04</x:v>
      </x:c>
      <x:c r="K5" s="33" t="n">
        <x:v>81276.34</x:v>
      </x:c>
    </x:row>
    <x:row r="6">
      <x:c r="A6" s="27" t="n">
        <x:f>SUM('Monthly Analysis'!$C$2:$C$25)</x:f>
        <x:v>2224957.5999999996</x:v>
      </x:c>
      <x:c r="B6" s="27"/>
      <x:c r="C6" s="28" t="n">
        <x:f>SUM('Monthly Analysis'!$F$2:$F$25)</x:f>
        <x:v>5200</x:v>
      </x:c>
      <x:c r="D6" s="27"/>
      <x:c r="E6" s="27" t="n">
        <x:f>A6/SUM('Monthly Analysis'!$G$2:$G$25)</x:f>
        <x:v>476.7425755303192</x:v>
      </x:c>
      <x:c r="F6" s="27"/>
      <x:c r="G6" s="27" t="n">
        <x:f>SUM('Monthly Analysis'!$D$2:$D$25)</x:f>
        <x:v>716170.2200000001</x:v>
      </x:c>
      <x:c r="H6" s="27"/>
      <x:c r="J6" s="33" t="str">
        <x:v>2024-05</x:v>
      </x:c>
      <x:c r="K6" s="33" t="n">
        <x:v>103986.77</x:v>
      </x:c>
    </x:row>
    <x:row r="7">
      <x:c r="A7" s="23"/>
      <x:c r="B7" s="23"/>
      <x:c r="C7" s="23"/>
      <x:c r="D7" s="23"/>
      <x:c r="E7" s="23"/>
      <x:c r="F7" s="23"/>
      <x:c r="G7" s="23"/>
      <x:c r="H7" s="23"/>
      <x:c r="J7" s="33" t="str">
        <x:v>2024-06</x:v>
      </x:c>
      <x:c r="K7" s="33" t="n">
        <x:v>90136.92</x:v>
      </x:c>
    </x:row>
    <x:row r="8">
      <x:c r="A8" s="29" t="str">
        <x:v>Return Rate</x:v>
      </x:c>
      <x:c r="B8" s="29" t="str"/>
      <x:c r="C8" s="29" t="str">
        <x:v>Cancellation Rate</x:v>
      </x:c>
      <x:c r="D8" s="29" t="str"/>
      <x:c r="E8" s="29" t="str">
        <x:v>Revenue Lost</x:v>
      </x:c>
      <x:c r="F8" s="29" t="str"/>
      <x:c r="G8" s="29" t="str">
        <x:v>Gross Margin</x:v>
      </x:c>
      <x:c r="H8" s="29" t="str"/>
      <x:c r="J8" s="33" t="str">
        <x:v>2024-07</x:v>
      </x:c>
      <x:c r="K8" s="33" t="n">
        <x:v>82941.1</x:v>
      </x:c>
    </x:row>
    <x:row r="9">
      <x:c r="A9" s="30" t="n">
        <x:f>SUM('Monthly Analysis'!$I$2:$I$25)/SUM('Monthly Analysis'!$F$2:$F$25)</x:f>
        <x:v>0.07</x:v>
      </x:c>
      <x:c r="B9" s="30"/>
      <x:c r="C9" s="30" t="n">
        <x:f>SUM('Monthly Analysis'!$J$2:$J$25)/SUM('Monthly Analysis'!$F$2:$F$25)</x:f>
        <x:v>0.0325</x:v>
      </x:c>
      <x:c r="D9" s="30"/>
      <x:c r="E9" s="31" t="n">
        <x:f>SUM('Category Analysis'!$E$2:$E$5)</x:f>
        <x:v>281722.39</x:v>
      </x:c>
      <x:c r="F9" s="30"/>
      <x:c r="G9" s="30" t="n">
        <x:f>G6/A6</x:f>
        <x:v>0.3218803899903532</x:v>
      </x:c>
      <x:c r="H9" s="30"/>
      <x:c r="J9" s="33" t="str">
        <x:v>2024-08</x:v>
      </x:c>
      <x:c r="K9" s="33" t="n">
        <x:v>95051.06</x:v>
      </x:c>
    </x:row>
    <x:row r="10">
      <x:c r="A10" s="23"/>
      <x:c r="B10" s="23"/>
      <x:c r="C10" s="23"/>
      <x:c r="D10" s="23"/>
      <x:c r="E10" s="23"/>
      <x:c r="F10" s="23"/>
      <x:c r="G10" s="23"/>
      <x:c r="H10" s="23"/>
      <x:c r="J10" s="33" t="str">
        <x:v>2024-09</x:v>
      </x:c>
      <x:c r="K10" s="33" t="n">
        <x:v>88959.54</x:v>
      </x:c>
    </x:row>
    <x:row r="11">
      <x:c r="A11" s="23"/>
      <x:c r="B11" s="23"/>
      <x:c r="C11" s="23"/>
      <x:c r="D11" s="23"/>
      <x:c r="E11" s="23"/>
      <x:c r="F11" s="23"/>
      <x:c r="G11" s="23"/>
      <x:c r="H11" s="23"/>
      <x:c r="J11" s="33" t="str">
        <x:v>2024-10</x:v>
      </x:c>
      <x:c r="K11" s="33" t="n">
        <x:v>100870.33</x:v>
      </x:c>
    </x:row>
    <x:row r="12">
      <x:c r="A12" s="22" t="str">
        <x:v>Dashboard scope: 2024-01-01 to 2025-12-31. Net revenue recognizes completed orders only. Synthetic dataset for portfolio use.</x:v>
      </x:c>
      <x:c r="B12" s="32" t="str">
        <x:v>Dashboard scope: 2024-01-01 to 2025-12-31. Net revenue recognizes completed orders only. Synthetic dataset for portfolio use.</x:v>
      </x:c>
      <x:c r="C12" s="32" t="str">
        <x:v>Dashboard scope: 2024-01-01 to 2025-12-31. Net revenue recognizes completed orders only. Synthetic dataset for portfolio use.</x:v>
      </x:c>
      <x:c r="D12" s="32" t="str">
        <x:v>Dashboard scope: 2024-01-01 to 2025-12-31. Net revenue recognizes completed orders only. Synthetic dataset for portfolio use.</x:v>
      </x:c>
      <x:c r="E12" s="32" t="str">
        <x:v>Dashboard scope: 2024-01-01 to 2025-12-31. Net revenue recognizes completed orders only. Synthetic dataset for portfolio use.</x:v>
      </x:c>
      <x:c r="F12" s="32" t="str">
        <x:v>Dashboard scope: 2024-01-01 to 2025-12-31. Net revenue recognizes completed orders only. Synthetic dataset for portfolio use.</x:v>
      </x:c>
      <x:c r="G12" s="32" t="str">
        <x:v>Dashboard scope: 2024-01-01 to 2025-12-31. Net revenue recognizes completed orders only. Synthetic dataset for portfolio use.</x:v>
      </x:c>
      <x:c r="H12" s="32" t="str">
        <x:v>Dashboard scope: 2024-01-01 to 2025-12-31. Net revenue recognizes completed orders only. Synthetic dataset for portfolio use.</x:v>
      </x:c>
      <x:c r="J12" s="33" t="str">
        <x:v>2024-11</x:v>
      </x:c>
      <x:c r="K12" s="33" t="n">
        <x:v>88987.32</x:v>
      </x:c>
    </x:row>
    <x:row r="13">
      <x:c r="A13" s="23"/>
      <x:c r="B13" s="23"/>
      <x:c r="C13" s="23"/>
      <x:c r="D13" s="23"/>
      <x:c r="E13" s="23"/>
      <x:c r="F13" s="23"/>
      <x:c r="G13" s="23"/>
      <x:c r="H13" s="23"/>
      <x:c r="J13" s="33" t="str">
        <x:v>2024-12</x:v>
      </x:c>
      <x:c r="K13" s="33" t="n">
        <x:v>95248.69</x:v>
      </x:c>
    </x:row>
    <x:row r="14">
      <x:c r="A14" s="23"/>
      <x:c r="B14" s="23"/>
      <x:c r="C14" s="23"/>
      <x:c r="D14" s="23"/>
      <x:c r="E14" s="23"/>
      <x:c r="F14" s="23"/>
      <x:c r="G14" s="23"/>
      <x:c r="H14" s="23"/>
      <x:c r="J14" s="33" t="str">
        <x:v>2025-01</x:v>
      </x:c>
      <x:c r="K14" s="33" t="n">
        <x:v>87739.81</x:v>
      </x:c>
    </x:row>
    <x:row r="15">
      <x:c r="A15" s="23"/>
      <x:c r="B15" s="23"/>
      <x:c r="C15" s="23"/>
      <x:c r="D15" s="23"/>
      <x:c r="E15" s="23"/>
      <x:c r="F15" s="23"/>
      <x:c r="G15" s="23"/>
      <x:c r="H15" s="23"/>
      <x:c r="J15" s="33" t="str">
        <x:v>2025-02</x:v>
      </x:c>
      <x:c r="K15" s="33" t="n">
        <x:v>88837.48</x:v>
      </x:c>
    </x:row>
    <x:row r="16">
      <x:c r="A16" s="23"/>
      <x:c r="B16" s="23"/>
      <x:c r="C16" s="23"/>
      <x:c r="D16" s="23"/>
      <x:c r="E16" s="23"/>
      <x:c r="F16" s="23"/>
      <x:c r="G16" s="23"/>
      <x:c r="H16" s="23"/>
      <x:c r="J16" s="33" t="str">
        <x:v>2025-03</x:v>
      </x:c>
      <x:c r="K16" s="33" t="n">
        <x:v>108310.9</x:v>
      </x:c>
    </x:row>
    <x:row r="17">
      <x:c r="A17" s="23"/>
      <x:c r="B17" s="23"/>
      <x:c r="C17" s="23"/>
      <x:c r="D17" s="23"/>
      <x:c r="E17" s="23"/>
      <x:c r="F17" s="23"/>
      <x:c r="G17" s="23"/>
      <x:c r="H17" s="23"/>
      <x:c r="J17" s="33" t="str">
        <x:v>2025-04</x:v>
      </x:c>
      <x:c r="K17" s="33" t="n">
        <x:v>89055.76</x:v>
      </x:c>
    </x:row>
    <x:row r="18">
      <x:c r="A18" s="23"/>
      <x:c r="B18" s="23"/>
      <x:c r="C18" s="23"/>
      <x:c r="D18" s="23"/>
      <x:c r="E18" s="23"/>
      <x:c r="F18" s="23"/>
      <x:c r="G18" s="23"/>
      <x:c r="H18" s="23"/>
      <x:c r="J18" s="33" t="str">
        <x:v>2025-05</x:v>
      </x:c>
      <x:c r="K18" s="33" t="n">
        <x:v>86319.19</x:v>
      </x:c>
    </x:row>
    <x:row r="19">
      <x:c r="A19" s="23"/>
      <x:c r="B19" s="23"/>
      <x:c r="C19" s="23"/>
      <x:c r="D19" s="23"/>
      <x:c r="E19" s="23"/>
      <x:c r="F19" s="23"/>
      <x:c r="G19" s="23"/>
      <x:c r="H19" s="23"/>
      <x:c r="J19" s="33" t="str">
        <x:v>2025-06</x:v>
      </x:c>
      <x:c r="K19" s="33" t="n">
        <x:v>104249.15</x:v>
      </x:c>
    </x:row>
    <x:row r="20">
      <x:c r="A20" s="23"/>
      <x:c r="B20" s="23"/>
      <x:c r="C20" s="23"/>
      <x:c r="D20" s="23"/>
      <x:c r="E20" s="23"/>
      <x:c r="F20" s="23"/>
      <x:c r="G20" s="23"/>
      <x:c r="H20" s="23"/>
      <x:c r="J20" s="33" t="str">
        <x:v>2025-07</x:v>
      </x:c>
      <x:c r="K20" s="33" t="n">
        <x:v>99122.67</x:v>
      </x:c>
    </x:row>
    <x:row r="21">
      <x:c r="A21" s="23"/>
      <x:c r="B21" s="23"/>
      <x:c r="C21" s="23"/>
      <x:c r="D21" s="23"/>
      <x:c r="E21" s="23"/>
      <x:c r="F21" s="23"/>
      <x:c r="G21" s="23"/>
      <x:c r="H21" s="23"/>
      <x:c r="J21" s="33" t="str">
        <x:v>2025-08</x:v>
      </x:c>
      <x:c r="K21" s="33" t="n">
        <x:v>87465.88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  <x:c r="J22" s="33" t="str">
        <x:v>2025-09</x:v>
      </x:c>
      <x:c r="K22" s="33" t="n">
        <x:v>100250.32</x:v>
      </x:c>
    </x:row>
    <x:row r="23">
      <x:c r="A23" s="23"/>
      <x:c r="B23" s="23"/>
      <x:c r="C23" s="23"/>
      <x:c r="D23" s="23"/>
      <x:c r="E23" s="23"/>
      <x:c r="F23" s="23"/>
      <x:c r="G23" s="23"/>
      <x:c r="H23" s="23"/>
      <x:c r="J23" s="33" t="str">
        <x:v>2025-10</x:v>
      </x:c>
      <x:c r="K23" s="33" t="n">
        <x:v>87214.65</x:v>
      </x:c>
    </x:row>
    <x:row r="24">
      <x:c r="A24" s="23"/>
      <x:c r="B24" s="23"/>
      <x:c r="C24" s="23"/>
      <x:c r="D24" s="23"/>
      <x:c r="E24" s="23"/>
      <x:c r="F24" s="23"/>
      <x:c r="G24" s="23"/>
      <x:c r="H24" s="23"/>
      <x:c r="J24" s="33" t="str">
        <x:v>2025-11</x:v>
      </x:c>
      <x:c r="K24" s="33" t="n">
        <x:v>92226.59</x:v>
      </x:c>
    </x:row>
    <x:row r="25">
      <x:c r="A25" s="23"/>
      <x:c r="B25" s="23"/>
      <x:c r="C25" s="23"/>
      <x:c r="D25" s="23"/>
      <x:c r="E25" s="23"/>
      <x:c r="F25" s="23"/>
      <x:c r="G25" s="23"/>
      <x:c r="H25" s="23"/>
      <x:c r="J25" s="33" t="str">
        <x:v>2025-12</x:v>
      </x:c>
      <x:c r="K25" s="33" t="n">
        <x:v>85709.07</x:v>
      </x:c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</x:sheetData>
  <x:mergeCells>
    <x:mergeCell ref="A2:H2"/>
    <x:mergeCell ref="A12:H12"/>
  </x:mergeCells>
  <x:pageMargins left="0.7" right="0.7" top="0.75" bottom="0.75" header="0.3" footer="0.3"/>
  <x:drawing xmlns:r="http://schemas.openxmlformats.org/officeDocument/2006/relationships" r:id="Rf921c57bc594434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2.880000114440918" hidden="0" customWidth="1"/>
    <x:col min="3" max="3" width="14.75" hidden="0" customWidth="1"/>
    <x:col min="4" max="4" width="16.6299991607666" hidden="0" customWidth="1"/>
    <x:col min="5" max="5" width="18.6299991607666" hidden="0" customWidth="1"/>
    <x:col min="6" max="6" width="17.3799991607666" hidden="0" customWidth="1"/>
    <x:col min="7" max="7" width="17.8799991607666" hidden="0" customWidth="1"/>
    <x:col min="8" max="8" width="19.75" hidden="0" customWidth="1"/>
    <x:col min="9" max="9" width="21.75" hidden="0" customWidth="1"/>
  </x:cols>
  <x:sheetData>
    <x:row r="1">
      <x:c r="A1" t="str">
        <x:v>Month</x:v>
      </x:c>
      <x:c r="B1" t="str">
        <x:v>Net Revenue</x:v>
      </x:c>
      <x:c r="C1" t="str">
        <x:v>Revenue Target</x:v>
      </x:c>
      <x:c r="D1" t="str">
        <x:v>Revenue Variance</x:v>
      </x:c>
      <x:c r="E1" t="str">
        <x:v>Revenue Attainment</x:v>
      </x:c>
      <x:c r="F1" t="str">
        <x:v>Contribution Profit</x:v>
      </x:c>
      <x:c r="G1" t="str">
        <x:v>Contribution Target</x:v>
      </x:c>
      <x:c r="H1" t="str">
        <x:v>Contribution Variance</x:v>
      </x:c>
      <x:c r="I1" t="str">
        <x:v>Contribution Attainment</x:v>
      </x:c>
    </x:row>
    <x:row r="2">
      <x:c r="A2" t="str">
        <x:v>2024-01</x:v>
      </x:c>
      <x:c r="B2" s="1" t="n">
        <x:v>95583.31</x:v>
      </x:c>
      <x:c r="C2" s="1" t="n">
        <x:v>95726.4</x:v>
      </x:c>
      <x:c r="D2" s="1" t="n">
        <x:v>-143.09</x:v>
      </x:c>
      <x:c r="E2" s="3" t="n">
        <x:v>0.9985052399338111</x:v>
      </x:c>
      <x:c r="F2" s="1" t="n">
        <x:v>27178.97</x:v>
      </x:c>
      <x:c r="G2" s="1" t="n">
        <x:v>32546.98</x:v>
      </x:c>
      <x:c r="H2" s="1" t="n">
        <x:v>-5368.01</x:v>
      </x:c>
      <x:c r="I2" s="3" t="n">
        <x:v>0.8350688758219653</x:v>
      </x:c>
    </x:row>
    <x:row r="3">
      <x:c r="A3" t="str">
        <x:v>2024-02</x:v>
      </x:c>
      <x:c r="B3" s="1" t="n">
        <x:v>94039.99</x:v>
      </x:c>
      <x:c r="C3" s="1" t="n">
        <x:v>89344.64</x:v>
      </x:c>
      <x:c r="D3" s="1" t="n">
        <x:v>4695.35</x:v>
      </x:c>
      <x:c r="E3" s="3" t="n">
        <x:v>1.0525532197566636</x:v>
      </x:c>
      <x:c r="F3" s="1" t="n">
        <x:v>28177.28</x:v>
      </x:c>
      <x:c r="G3" s="1" t="n">
        <x:v>30377.18</x:v>
      </x:c>
      <x:c r="H3" s="1" t="n">
        <x:v>-2199.9</x:v>
      </x:c>
      <x:c r="I3" s="3" t="n">
        <x:v>0.927580489696542</x:v>
      </x:c>
    </x:row>
    <x:row r="4">
      <x:c r="A4" t="str">
        <x:v>2024-03</x:v>
      </x:c>
      <x:c r="B4" s="1" t="n">
        <x:v>91374.76</x:v>
      </x:c>
      <x:c r="C4" s="1" t="n">
        <x:v>91168</x:v>
      </x:c>
      <x:c r="D4" s="1" t="n">
        <x:v>206.76</x:v>
      </x:c>
      <x:c r="E4" s="3" t="n">
        <x:v>1.0022679503773249</x:v>
      </x:c>
      <x:c r="F4" s="1" t="n">
        <x:v>26150.12</x:v>
      </x:c>
      <x:c r="G4" s="1" t="n">
        <x:v>30997.12</x:v>
      </x:c>
      <x:c r="H4" s="1" t="n">
        <x:v>-4847</x:v>
      </x:c>
      <x:c r="I4" s="3" t="n">
        <x:v>0.8436306018107488</x:v>
      </x:c>
    </x:row>
    <x:row r="5">
      <x:c r="A5" t="str">
        <x:v>2024-04</x:v>
      </x:c>
      <x:c r="B5" s="1" t="n">
        <x:v>81276.34</x:v>
      </x:c>
      <x:c r="C5" s="1" t="n">
        <x:v>92991.36</x:v>
      </x:c>
      <x:c r="D5" s="1" t="n">
        <x:v>-11715.02</x:v>
      </x:c>
      <x:c r="E5" s="3" t="n">
        <x:v>0.8740203767317735</x:v>
      </x:c>
      <x:c r="F5" s="1" t="n">
        <x:v>22848.46</x:v>
      </x:c>
      <x:c r="G5" s="1" t="n">
        <x:v>31617.06</x:v>
      </x:c>
      <x:c r="H5" s="1" t="n">
        <x:v>-8768.6</x:v>
      </x:c>
      <x:c r="I5" s="3" t="n">
        <x:v>0.7226622272912155</x:v>
      </x:c>
    </x:row>
    <x:row r="6">
      <x:c r="A6" t="str">
        <x:v>2024-05</x:v>
      </x:c>
      <x:c r="B6" s="1" t="n">
        <x:v>103986.77</x:v>
      </x:c>
      <x:c r="C6" s="1" t="n">
        <x:v>89344.64</x:v>
      </x:c>
      <x:c r="D6" s="1" t="n">
        <x:v>14642.13</x:v>
      </x:c>
      <x:c r="E6" s="3" t="n">
        <x:v>1.1638836812146764</x:v>
      </x:c>
      <x:c r="F6" s="1" t="n">
        <x:v>28648.43</x:v>
      </x:c>
      <x:c r="G6" s="1" t="n">
        <x:v>30377.18</x:v>
      </x:c>
      <x:c r="H6" s="1" t="n">
        <x:v>-1728.75</x:v>
      </x:c>
      <x:c r="I6" s="3" t="n">
        <x:v>0.9430906028801885</x:v>
      </x:c>
    </x:row>
    <x:row r="7">
      <x:c r="A7" t="str">
        <x:v>2024-06</x:v>
      </x:c>
      <x:c r="B7" s="1" t="n">
        <x:v>90136.92</x:v>
      </x:c>
      <x:c r="C7" s="1" t="n">
        <x:v>98461.44</x:v>
      </x:c>
      <x:c r="D7" s="1" t="n">
        <x:v>-8324.52</x:v>
      </x:c>
      <x:c r="E7" s="3" t="n">
        <x:v>0.9154540041258792</x:v>
      </x:c>
      <x:c r="F7" s="1" t="n">
        <x:v>25745.42</x:v>
      </x:c>
      <x:c r="G7" s="1" t="n">
        <x:v>33476.88</x:v>
      </x:c>
      <x:c r="H7" s="1" t="n">
        <x:v>-7731.46</x:v>
      </x:c>
      <x:c r="I7" s="3" t="n">
        <x:v>0.7690506253868344</x:v>
      </x:c>
    </x:row>
    <x:row r="8">
      <x:c r="A8" t="str">
        <x:v>2024-07</x:v>
      </x:c>
      <x:c r="B8" s="1" t="n">
        <x:v>82941.1</x:v>
      </x:c>
      <x:c r="C8" s="1" t="n">
        <x:v>92079.68</x:v>
      </x:c>
      <x:c r="D8" s="1" t="n">
        <x:v>-9138.58</x:v>
      </x:c>
      <x:c r="E8" s="3" t="n">
        <x:v>0.9007535647387126</x:v>
      </x:c>
      <x:c r="F8" s="1" t="n">
        <x:v>24044.32</x:v>
      </x:c>
      <x:c r="G8" s="1" t="n">
        <x:v>31307.1</x:v>
      </x:c>
      <x:c r="H8" s="1" t="n">
        <x:v>-7262.78</x:v>
      </x:c>
      <x:c r="I8" s="3" t="n">
        <x:v>0.7680148911908159</x:v>
      </x:c>
    </x:row>
    <x:row r="9">
      <x:c r="A9" t="str">
        <x:v>2024-08</x:v>
      </x:c>
      <x:c r="B9" s="1" t="n">
        <x:v>95051.06</x:v>
      </x:c>
      <x:c r="C9" s="1" t="n">
        <x:v>87521.28</x:v>
      </x:c>
      <x:c r="D9" s="1" t="n">
        <x:v>7529.78</x:v>
      </x:c>
      <x:c r="E9" s="3" t="n">
        <x:v>1.0860337394517086</x:v>
      </x:c>
      <x:c r="F9" s="1" t="n">
        <x:v>27859.35</x:v>
      </x:c>
      <x:c r="G9" s="1" t="n">
        <x:v>29757.22</x:v>
      </x:c>
      <x:c r="H9" s="1" t="n">
        <x:v>-1897.87</x:v>
      </x:c>
      <x:c r="I9" s="3" t="n">
        <x:v>0.9362216295742679</x:v>
      </x:c>
    </x:row>
    <x:row r="10">
      <x:c r="A10" t="str">
        <x:v>2024-09</x:v>
      </x:c>
      <x:c r="B10" s="1" t="n">
        <x:v>88959.54</x:v>
      </x:c>
      <x:c r="C10" s="1" t="n">
        <x:v>91168</x:v>
      </x:c>
      <x:c r="D10" s="1" t="n">
        <x:v>-2208.46</x:v>
      </x:c>
      <x:c r="E10" s="3" t="n">
        <x:v>0.9757758807915058</x:v>
      </x:c>
      <x:c r="F10" s="1" t="n">
        <x:v>25617.19</x:v>
      </x:c>
      <x:c r="G10" s="1" t="n">
        <x:v>30997.12</x:v>
      </x:c>
      <x:c r="H10" s="1" t="n">
        <x:v>-5379.93</x:v>
      </x:c>
      <x:c r="I10" s="3" t="n">
        <x:v>0.8264377626050421</x:v>
      </x:c>
    </x:row>
    <x:row r="11">
      <x:c r="A11" t="str">
        <x:v>2024-10</x:v>
      </x:c>
      <x:c r="B11" s="1" t="n">
        <x:v>100870.33</x:v>
      </x:c>
      <x:c r="C11" s="1" t="n">
        <x:v>93903.04</x:v>
      </x:c>
      <x:c r="D11" s="1" t="n">
        <x:v>6967.29</x:v>
      </x:c>
      <x:c r="E11" s="3" t="n">
        <x:v>1.0741966554011457</x:v>
      </x:c>
      <x:c r="F11" s="1" t="n">
        <x:v>29662.93</x:v>
      </x:c>
      <x:c r="G11" s="1" t="n">
        <x:v>31927.02</x:v>
      </x:c>
      <x:c r="H11" s="1" t="n">
        <x:v>-2264.09</x:v>
      </x:c>
      <x:c r="I11" s="3" t="n">
        <x:v>0.9290855363262844</x:v>
      </x:c>
    </x:row>
    <x:row r="12">
      <x:c r="A12" t="str">
        <x:v>2024-11</x:v>
      </x:c>
      <x:c r="B12" s="1" t="n">
        <x:v>88987.32</x:v>
      </x:c>
      <x:c r="C12" s="1" t="n">
        <x:v>100284.8</x:v>
      </x:c>
      <x:c r="D12" s="1" t="n">
        <x:v>-11297.48</x:v>
      </x:c>
      <x:c r="E12" s="3" t="n">
        <x:v>0.8873460235250007</x:v>
      </x:c>
      <x:c r="F12" s="1" t="n">
        <x:v>24752.66</x:v>
      </x:c>
      <x:c r="G12" s="1" t="n">
        <x:v>34096.84</x:v>
      </x:c>
      <x:c r="H12" s="1" t="n">
        <x:v>-9344.18</x:v>
      </x:c>
      <x:c r="I12" s="3" t="n">
        <x:v>0.7259518624013245</x:v>
      </x:c>
    </x:row>
    <x:row r="13">
      <x:c r="A13" t="str">
        <x:v>2024-12</x:v>
      </x:c>
      <x:c r="B13" s="1" t="n">
        <x:v>95248.69</x:v>
      </x:c>
      <x:c r="C13" s="1" t="n">
        <x:v>102108.16</x:v>
      </x:c>
      <x:c r="D13" s="1" t="n">
        <x:v>-6859.47</x:v>
      </x:c>
      <x:c r="E13" s="3" t="n">
        <x:v>0.9328215345374942</x:v>
      </x:c>
      <x:c r="F13" s="1" t="n">
        <x:v>25622.29</x:v>
      </x:c>
      <x:c r="G13" s="1" t="n">
        <x:v>34716.78</x:v>
      </x:c>
      <x:c r="H13" s="1" t="n">
        <x:v>-9094.49</x:v>
      </x:c>
      <x:c r="I13" s="3" t="n">
        <x:v>0.7380374850432565</x:v>
      </x:c>
    </x:row>
    <x:row r="14">
      <x:c r="A14" t="str">
        <x:v>2025-01</x:v>
      </x:c>
      <x:c r="B14" s="1" t="n">
        <x:v>87739.81</x:v>
      </x:c>
      <x:c r="C14" s="1" t="n">
        <x:v>101469.98</x:v>
      </x:c>
      <x:c r="D14" s="1" t="n">
        <x:v>-13730.17</x:v>
      </x:c>
      <x:c r="E14" s="3" t="n">
        <x:v>0.8646873932566069</x:v>
      </x:c>
      <x:c r="F14" s="1" t="n">
        <x:v>24150.63</x:v>
      </x:c>
      <x:c r="G14" s="1" t="n">
        <x:v>34499.78</x:v>
      </x:c>
      <x:c r="H14" s="1" t="n">
        <x:v>-10349.15</x:v>
      </x:c>
      <x:c r="I14" s="3" t="n">
        <x:v>0.7000226233326708</x:v>
      </x:c>
    </x:row>
    <x:row r="15">
      <x:c r="A15" t="str">
        <x:v>2025-02</x:v>
      </x:c>
      <x:c r="B15" s="1" t="n">
        <x:v>88837.48</x:v>
      </x:c>
      <x:c r="C15" s="1" t="n">
        <x:v>94705.3</x:v>
      </x:c>
      <x:c r="D15" s="1" t="n">
        <x:v>-5867.82</x:v>
      </x:c>
      <x:c r="E15" s="3" t="n">
        <x:v>0.9380412606263853</x:v>
      </x:c>
      <x:c r="F15" s="1" t="n">
        <x:v>25662.61</x:v>
      </x:c>
      <x:c r="G15" s="1" t="n">
        <x:v>32199.82</x:v>
      </x:c>
      <x:c r="H15" s="1" t="n">
        <x:v>-6537.21</x:v>
      </x:c>
      <x:c r="I15" s="3" t="n">
        <x:v>0.796979905477732</x:v>
      </x:c>
    </x:row>
    <x:row r="16">
      <x:c r="A16" t="str">
        <x:v>2025-03</x:v>
      </x:c>
      <x:c r="B16" s="1" t="n">
        <x:v>108310.9</x:v>
      </x:c>
      <x:c r="C16" s="1" t="n">
        <x:v>96638.08</x:v>
      </x:c>
      <x:c r="D16" s="1" t="n">
        <x:v>11672.82</x:v>
      </x:c>
      <x:c r="E16" s="3" t="n">
        <x:v>1.1207890460985972</x:v>
      </x:c>
      <x:c r="F16" s="1" t="n">
        <x:v>31511.22</x:v>
      </x:c>
      <x:c r="G16" s="1" t="n">
        <x:v>32856.96</x:v>
      </x:c>
      <x:c r="H16" s="1" t="n">
        <x:v>-1345.74</x:v>
      </x:c>
      <x:c r="I16" s="3" t="n">
        <x:v>0.9590423155398441</x:v>
      </x:c>
    </x:row>
    <x:row r="17">
      <x:c r="A17" t="str">
        <x:v>2025-04</x:v>
      </x:c>
      <x:c r="B17" s="1" t="n">
        <x:v>89055.76</x:v>
      </x:c>
      <x:c r="C17" s="1" t="n">
        <x:v>98570.86</x:v>
      </x:c>
      <x:c r="D17" s="1" t="n">
        <x:v>-9515.1</x:v>
      </x:c>
      <x:c r="E17" s="3" t="n">
        <x:v>0.9034694330555705</x:v>
      </x:c>
      <x:c r="F17" s="1" t="n">
        <x:v>24704.82</x:v>
      </x:c>
      <x:c r="G17" s="1" t="n">
        <x:v>33514.08</x:v>
      </x:c>
      <x:c r="H17" s="1" t="n">
        <x:v>-8809.26</x:v>
      </x:c>
      <x:c r="I17" s="3" t="n">
        <x:v>0.7371473720895813</x:v>
      </x:c>
    </x:row>
    <x:row r="18">
      <x:c r="A18" t="str">
        <x:v>2025-05</x:v>
      </x:c>
      <x:c r="B18" s="1" t="n">
        <x:v>86319.19</x:v>
      </x:c>
      <x:c r="C18" s="1" t="n">
        <x:v>94705.3</x:v>
      </x:c>
      <x:c r="D18" s="1" t="n">
        <x:v>-8386.11</x:v>
      </x:c>
      <x:c r="E18" s="3" t="n">
        <x:v>0.9114504943229149</x:v>
      </x:c>
      <x:c r="F18" s="1" t="n">
        <x:v>24239.18</x:v>
      </x:c>
      <x:c r="G18" s="1" t="n">
        <x:v>32199.82</x:v>
      </x:c>
      <x:c r="H18" s="1" t="n">
        <x:v>-7960.64</x:v>
      </x:c>
      <x:c r="I18" s="3" t="n">
        <x:v>0.7527738664377626</x:v>
      </x:c>
    </x:row>
    <x:row r="19">
      <x:c r="A19" t="str">
        <x:v>2025-06</x:v>
      </x:c>
      <x:c r="B19" s="1" t="n">
        <x:v>104249.15</x:v>
      </x:c>
      <x:c r="C19" s="1" t="n">
        <x:v>104369.14</x:v>
      </x:c>
      <x:c r="D19" s="1" t="n">
        <x:v>-119.99</x:v>
      </x:c>
      <x:c r="E19" s="3" t="n">
        <x:v>0.9988503354535636</x:v>
      </x:c>
      <x:c r="F19" s="1" t="n">
        <x:v>29682.49</x:v>
      </x:c>
      <x:c r="G19" s="1" t="n">
        <x:v>35485.52</x:v>
      </x:c>
      <x:c r="H19" s="1" t="n">
        <x:v>-5803.03</x:v>
      </x:c>
      <x:c r="I19" s="3" t="n">
        <x:v>0.8364675647982609</x:v>
      </x:c>
    </x:row>
    <x:row r="20">
      <x:c r="A20" t="str">
        <x:v>2025-07</x:v>
      </x:c>
      <x:c r="B20" s="1" t="n">
        <x:v>99122.67</x:v>
      </x:c>
      <x:c r="C20" s="1" t="n">
        <x:v>97604.46</x:v>
      </x:c>
      <x:c r="D20" s="1" t="n">
        <x:v>1518.21</x:v>
      </x:c>
      <x:c r="E20" s="3" t="n">
        <x:v>1.015554673423735</x:v>
      </x:c>
      <x:c r="F20" s="1" t="n">
        <x:v>26887.53</x:v>
      </x:c>
      <x:c r="G20" s="1" t="n">
        <x:v>33185.5</x:v>
      </x:c>
      <x:c r="H20" s="1" t="n">
        <x:v>-6297.97</x:v>
      </x:c>
      <x:c r="I20" s="3" t="n">
        <x:v>0.8102190866492897</x:v>
      </x:c>
    </x:row>
    <x:row r="21">
      <x:c r="A21" t="str">
        <x:v>2025-08</x:v>
      </x:c>
      <x:c r="B21" s="1" t="n">
        <x:v>87465.88</x:v>
      </x:c>
      <x:c r="C21" s="1" t="n">
        <x:v>92772.56</x:v>
      </x:c>
      <x:c r="D21" s="1" t="n">
        <x:v>-5306.68</x:v>
      </x:c>
      <x:c r="E21" s="3" t="n">
        <x:v>0.9427990075944873</x:v>
      </x:c>
      <x:c r="F21" s="1" t="n">
        <x:v>24269.12</x:v>
      </x:c>
      <x:c r="G21" s="1" t="n">
        <x:v>31542.66</x:v>
      </x:c>
      <x:c r="H21" s="1" t="n">
        <x:v>-7273.54</x:v>
      </x:c>
      <x:c r="I21" s="3" t="n">
        <x:v>0.7694063531737647</x:v>
      </x:c>
    </x:row>
    <x:row r="22">
      <x:c r="A22" t="str">
        <x:v>2025-09</x:v>
      </x:c>
      <x:c r="B22" s="1" t="n">
        <x:v>100250.32</x:v>
      </x:c>
      <x:c r="C22" s="1" t="n">
        <x:v>96638.08</x:v>
      </x:c>
      <x:c r="D22" s="1" t="n">
        <x:v>3612.24</x:v>
      </x:c>
      <x:c r="E22" s="3" t="n">
        <x:v>1.0373791004539827</x:v>
      </x:c>
      <x:c r="F22" s="1" t="n">
        <x:v>27632.44</x:v>
      </x:c>
      <x:c r="G22" s="1" t="n">
        <x:v>32856.96</x:v>
      </x:c>
      <x:c r="H22" s="1" t="n">
        <x:v>-5224.52</x:v>
      </x:c>
      <x:c r="I22" s="3" t="n">
        <x:v>0.8409919085636657</x:v>
      </x:c>
    </x:row>
    <x:row r="23">
      <x:c r="A23" t="str">
        <x:v>2025-10</x:v>
      </x:c>
      <x:c r="B23" s="1" t="n">
        <x:v>87214.65</x:v>
      </x:c>
      <x:c r="C23" s="1" t="n">
        <x:v>99537.22</x:v>
      </x:c>
      <x:c r="D23" s="1" t="n">
        <x:v>-12322.57</x:v>
      </x:c>
      <x:c r="E23" s="3" t="n">
        <x:v>0.8762013546289519</x:v>
      </x:c>
      <x:c r="F23" s="1" t="n">
        <x:v>25597.02</x:v>
      </x:c>
      <x:c r="G23" s="1" t="n">
        <x:v>33842.64</x:v>
      </x:c>
      <x:c r="H23" s="1" t="n">
        <x:v>-8245.62</x:v>
      </x:c>
      <x:c r="I23" s="3" t="n">
        <x:v>0.7563541289923005</x:v>
      </x:c>
    </x:row>
    <x:row r="24">
      <x:c r="A24" t="str">
        <x:v>2025-11</x:v>
      </x:c>
      <x:c r="B24" s="1" t="n">
        <x:v>92226.59</x:v>
      </x:c>
      <x:c r="C24" s="1" t="n">
        <x:v>106301.88</x:v>
      </x:c>
      <x:c r="D24" s="1" t="n">
        <x:v>-14075.29</x:v>
      </x:c>
      <x:c r="E24" s="3" t="n">
        <x:v>0.8675913398709417</x:v>
      </x:c>
      <x:c r="F24" s="1" t="n">
        <x:v>26226.08</x:v>
      </x:c>
      <x:c r="G24" s="1" t="n">
        <x:v>36142.64</x:v>
      </x:c>
      <x:c r="H24" s="1" t="n">
        <x:v>-9916.56</x:v>
      </x:c>
      <x:c r="I24" s="3" t="n">
        <x:v>0.7256272231358862</x:v>
      </x:c>
    </x:row>
    <x:row r="25">
      <x:c r="A25" t="str">
        <x:v>2025-12</x:v>
      </x:c>
      <x:c r="B25" s="1" t="n">
        <x:v>85709.07</x:v>
      </x:c>
      <x:c r="C25" s="1" t="n">
        <x:v>108234.64</x:v>
      </x:c>
      <x:c r="D25" s="1" t="n">
        <x:v>-22525.57</x:v>
      </x:c>
      <x:c r="E25" s="3" t="n">
        <x:v>0.7918820767547239</x:v>
      </x:c>
      <x:c r="F25" s="1" t="n">
        <x:v>24739.49</x:v>
      </x:c>
      <x:c r="G25" s="1" t="n">
        <x:v>36799.78</x:v>
      </x:c>
      <x:c r="H25" s="1" t="n">
        <x:v>-12060.29</x:v>
      </x:c>
      <x:c r="I25" s="3" t="n">
        <x:v>0.6722728369571774</x:v>
      </x:c>
    </x:row>
  </x:sheetData>
  <x:conditionalFormatting sqref="D2:D25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e384e37a3e4d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15.380000114440918" hidden="0" customWidth="1"/>
    <x:col min="3" max="3" width="11.380000114440918" hidden="0" customWidth="1"/>
    <x:col min="4" max="4" width="18.25" hidden="0" customWidth="1"/>
    <x:col min="5" max="5" width="13.380000114440918" hidden="0" customWidth="1"/>
    <x:col min="6" max="6" width="13.380000114440918" hidden="0" customWidth="1"/>
    <x:col min="7" max="7" width="8.25" hidden="0" customWidth="1"/>
    <x:col min="8" max="8" width="9.630000114440918" hidden="0" customWidth="1"/>
    <x:col min="9" max="9" width="8.630000114440918" hidden="0" customWidth="1"/>
    <x:col min="10" max="10" width="8.5" hidden="0" customWidth="1"/>
    <x:col min="11" max="11" width="9.25" hidden="0" customWidth="1"/>
    <x:col min="12" max="12" width="13.630000114440918" hidden="0" customWidth="1"/>
  </x:cols>
  <x:sheetData>
    <x:row r="1">
      <x:c r="A1" t="str">
        <x:v>Customer ID</x:v>
      </x:c>
      <x:c r="B1" t="str">
        <x:v>Customer Name</x:v>
      </x:c>
      <x:c r="C1" t="str">
        <x:v>Segment</x:v>
      </x:c>
      <x:c r="D1" t="str">
        <x:v>Acquisition Channel</x:v>
      </x:c>
      <x:c r="E1" t="str">
        <x:v>Last Purchase</x:v>
      </x:c>
      <x:c r="F1" t="str">
        <x:v>Recency Days</x:v>
      </x:c>
      <x:c r="G1" t="str">
        <x:v>Orders</x:v>
      </x:c>
      <x:c r="H1" t="str">
        <x:v>Revenue</x:v>
      </x:c>
      <x:c r="I1" t="str">
        <x:v>R Score</x:v>
      </x:c>
      <x:c r="J1" t="str">
        <x:v>F Score</x:v>
      </x:c>
      <x:c r="K1" t="str">
        <x:v>M Score</x:v>
      </x:c>
      <x:c r="L1" t="str">
        <x:v>RFM Segment</x:v>
      </x:c>
    </x:row>
    <x:row r="2">
      <x:c r="A2" t="str">
        <x:v>C0052</x:v>
      </x:c>
      <x:c r="B2" t="str">
        <x:v>Elijah Singh</x:v>
      </x:c>
      <x:c r="C2" t="str">
        <x:v>Corporate</x:v>
      </x:c>
      <x:c r="D2" t="str">
        <x:v>Referral</x:v>
      </x:c>
      <x:c r="E2" t="str">
        <x:v>2025-12-01</x:v>
      </x:c>
      <x:c r="F2" t="n">
        <x:v>31</x:v>
      </x:c>
      <x:c r="G2" t="n">
        <x:v>37</x:v>
      </x:c>
      <x:c r="H2" s="1" t="n">
        <x:v>20646.13</x:v>
      </x:c>
      <x:c r="I2" t="n">
        <x:v>4</x:v>
      </x:c>
      <x:c r="J2" t="n">
        <x:v>5</x:v>
      </x:c>
      <x:c r="K2" t="n">
        <x:v>5</x:v>
      </x:c>
      <x:c r="L2" t="str">
        <x:v>Champions</x:v>
      </x:c>
    </x:row>
    <x:row r="3">
      <x:c r="A3" t="str">
        <x:v>C0580</x:v>
      </x:c>
      <x:c r="B3" t="str">
        <x:v>Ethan Singh</x:v>
      </x:c>
      <x:c r="C3" t="str">
        <x:v>Consumer</x:v>
      </x:c>
      <x:c r="D3" t="str">
        <x:v>Referral</x:v>
      </x:c>
      <x:c r="E3" t="str">
        <x:v>2025-12-25</x:v>
      </x:c>
      <x:c r="F3" t="n">
        <x:v>7</x:v>
      </x:c>
      <x:c r="G3" t="n">
        <x:v>38</x:v>
      </x:c>
      <x:c r="H3" s="1" t="n">
        <x:v>19031.34</x:v>
      </x:c>
      <x:c r="I3" t="n">
        <x:v>5</x:v>
      </x:c>
      <x:c r="J3" t="n">
        <x:v>5</x:v>
      </x:c>
      <x:c r="K3" t="n">
        <x:v>5</x:v>
      </x:c>
      <x:c r="L3" t="str">
        <x:v>Champions</x:v>
      </x:c>
    </x:row>
    <x:row r="4">
      <x:c r="A4" t="str">
        <x:v>C0581</x:v>
      </x:c>
      <x:c r="B4" t="str">
        <x:v>Leo Davis</x:v>
      </x:c>
      <x:c r="C4" t="str">
        <x:v>Consumer</x:v>
      </x:c>
      <x:c r="D4" t="str">
        <x:v>Social</x:v>
      </x:c>
      <x:c r="E4" t="str">
        <x:v>2025-12-26</x:v>
      </x:c>
      <x:c r="F4" t="n">
        <x:v>6</x:v>
      </x:c>
      <x:c r="G4" t="n">
        <x:v>24</x:v>
      </x:c>
      <x:c r="H4" s="1" t="n">
        <x:v>18476.84</x:v>
      </x:c>
      <x:c r="I4" t="n">
        <x:v>5</x:v>
      </x:c>
      <x:c r="J4" t="n">
        <x:v>5</x:v>
      </x:c>
      <x:c r="K4" t="n">
        <x:v>5</x:v>
      </x:c>
      <x:c r="L4" t="str">
        <x:v>Champions</x:v>
      </x:c>
    </x:row>
    <x:row r="5">
      <x:c r="A5" t="str">
        <x:v>C0348</x:v>
      </x:c>
      <x:c r="B5" t="str">
        <x:v>Emma Patel</x:v>
      </x:c>
      <x:c r="C5" t="str">
        <x:v>Small Business</x:v>
      </x:c>
      <x:c r="D5" t="str">
        <x:v>Marketplace</x:v>
      </x:c>
      <x:c r="E5" t="str">
        <x:v>2025-12-23</x:v>
      </x:c>
      <x:c r="F5" t="n">
        <x:v>9</x:v>
      </x:c>
      <x:c r="G5" t="n">
        <x:v>32</x:v>
      </x:c>
      <x:c r="H5" s="1" t="n">
        <x:v>17931.48</x:v>
      </x:c>
      <x:c r="I5" t="n">
        <x:v>5</x:v>
      </x:c>
      <x:c r="J5" t="n">
        <x:v>5</x:v>
      </x:c>
      <x:c r="K5" t="n">
        <x:v>5</x:v>
      </x:c>
      <x:c r="L5" t="str">
        <x:v>Champions</x:v>
      </x:c>
    </x:row>
    <x:row r="6">
      <x:c r="A6" t="str">
        <x:v>C0213</x:v>
      </x:c>
      <x:c r="B6" t="str">
        <x:v>Ava Davis</x:v>
      </x:c>
      <x:c r="C6" t="str">
        <x:v>Corporate</x:v>
      </x:c>
      <x:c r="D6" t="str">
        <x:v>Email</x:v>
      </x:c>
      <x:c r="E6" t="str">
        <x:v>2025-12-27</x:v>
      </x:c>
      <x:c r="F6" t="n">
        <x:v>5</x:v>
      </x:c>
      <x:c r="G6" t="n">
        <x:v>25</x:v>
      </x:c>
      <x:c r="H6" s="1" t="n">
        <x:v>17577.9</x:v>
      </x:c>
      <x:c r="I6" t="n">
        <x:v>5</x:v>
      </x:c>
      <x:c r="J6" t="n">
        <x:v>5</x:v>
      </x:c>
      <x:c r="K6" t="n">
        <x:v>5</x:v>
      </x:c>
      <x:c r="L6" t="str">
        <x:v>Champions</x:v>
      </x:c>
    </x:row>
    <x:row r="7">
      <x:c r="A7" t="str">
        <x:v>C0557</x:v>
      </x:c>
      <x:c r="B7" t="str">
        <x:v>Lucas Kim</x:v>
      </x:c>
      <x:c r="C7" t="str">
        <x:v>Consumer</x:v>
      </x:c>
      <x:c r="D7" t="str">
        <x:v>Paid Search</x:v>
      </x:c>
      <x:c r="E7" t="str">
        <x:v>2025-12-04</x:v>
      </x:c>
      <x:c r="F7" t="n">
        <x:v>28</x:v>
      </x:c>
      <x:c r="G7" t="n">
        <x:v>28</x:v>
      </x:c>
      <x:c r="H7" s="1" t="n">
        <x:v>16264.99</x:v>
      </x:c>
      <x:c r="I7" t="n">
        <x:v>4</x:v>
      </x:c>
      <x:c r="J7" t="n">
        <x:v>5</x:v>
      </x:c>
      <x:c r="K7" t="n">
        <x:v>5</x:v>
      </x:c>
      <x:c r="L7" t="str">
        <x:v>Champions</x:v>
      </x:c>
    </x:row>
    <x:row r="8">
      <x:c r="A8" t="str">
        <x:v>C0552</x:v>
      </x:c>
      <x:c r="B8" t="str">
        <x:v>Elijah Harris</x:v>
      </x:c>
      <x:c r="C8" t="str">
        <x:v>Consumer</x:v>
      </x:c>
      <x:c r="D8" t="str">
        <x:v>Organic Search</x:v>
      </x:c>
      <x:c r="E8" t="str">
        <x:v>2025-10-18</x:v>
      </x:c>
      <x:c r="F8" t="n">
        <x:v>75</x:v>
      </x:c>
      <x:c r="G8" t="n">
        <x:v>24</x:v>
      </x:c>
      <x:c r="H8" s="1" t="n">
        <x:v>15082.39</x:v>
      </x:c>
      <x:c r="I8" t="n">
        <x:v>3</x:v>
      </x:c>
      <x:c r="J8" t="n">
        <x:v>5</x:v>
      </x:c>
      <x:c r="K8" t="n">
        <x:v>5</x:v>
      </x:c>
      <x:c r="L8" t="str">
        <x:v>Potential Loyalist</x:v>
      </x:c>
    </x:row>
    <x:row r="9">
      <x:c r="A9" t="str">
        <x:v>C0033</x:v>
      </x:c>
      <x:c r="B9" t="str">
        <x:v>Amelia Clark</x:v>
      </x:c>
      <x:c r="C9" t="str">
        <x:v>Consumer</x:v>
      </x:c>
      <x:c r="D9" t="str">
        <x:v>Email</x:v>
      </x:c>
      <x:c r="E9" t="str">
        <x:v>2025-12-12</x:v>
      </x:c>
      <x:c r="F9" t="n">
        <x:v>20</x:v>
      </x:c>
      <x:c r="G9" t="n">
        <x:v>29</x:v>
      </x:c>
      <x:c r="H9" s="1" t="n">
        <x:v>14937.72</x:v>
      </x:c>
      <x:c r="I9" t="n">
        <x:v>5</x:v>
      </x:c>
      <x:c r="J9" t="n">
        <x:v>5</x:v>
      </x:c>
      <x:c r="K9" t="n">
        <x:v>5</x:v>
      </x:c>
      <x:c r="L9" t="str">
        <x:v>Champions</x:v>
      </x:c>
    </x:row>
    <x:row r="10">
      <x:c r="A10" t="str">
        <x:v>C0460</x:v>
      </x:c>
      <x:c r="B10" t="str">
        <x:v>Emma Patel</x:v>
      </x:c>
      <x:c r="C10" t="str">
        <x:v>Consumer</x:v>
      </x:c>
      <x:c r="D10" t="str">
        <x:v>Marketplace</x:v>
      </x:c>
      <x:c r="E10" t="str">
        <x:v>2025-12-27</x:v>
      </x:c>
      <x:c r="F10" t="n">
        <x:v>5</x:v>
      </x:c>
      <x:c r="G10" t="n">
        <x:v>23</x:v>
      </x:c>
      <x:c r="H10" s="1" t="n">
        <x:v>14920.14</x:v>
      </x:c>
      <x:c r="I10" t="n">
        <x:v>5</x:v>
      </x:c>
      <x:c r="J10" t="n">
        <x:v>5</x:v>
      </x:c>
      <x:c r="K10" t="n">
        <x:v>5</x:v>
      </x:c>
      <x:c r="L10" t="str">
        <x:v>Champions</x:v>
      </x:c>
    </x:row>
    <x:row r="11">
      <x:c r="A11" t="str">
        <x:v>C0161</x:v>
      </x:c>
      <x:c r="B11" t="str">
        <x:v>Zoe Lewis</x:v>
      </x:c>
      <x:c r="C11" t="str">
        <x:v>Consumer</x:v>
      </x:c>
      <x:c r="D11" t="str">
        <x:v>Marketplace</x:v>
      </x:c>
      <x:c r="E11" t="str">
        <x:v>2025-12-30</x:v>
      </x:c>
      <x:c r="F11" t="n">
        <x:v>2</x:v>
      </x:c>
      <x:c r="G11" t="n">
        <x:v>27</x:v>
      </x:c>
      <x:c r="H11" s="1" t="n">
        <x:v>14661.46</x:v>
      </x:c>
      <x:c r="I11" t="n">
        <x:v>5</x:v>
      </x:c>
      <x:c r="J11" t="n">
        <x:v>5</x:v>
      </x:c>
      <x:c r="K11" t="n">
        <x:v>5</x:v>
      </x:c>
      <x:c r="L11" t="str">
        <x:v>Champions</x:v>
      </x:c>
    </x:row>
    <x:row r="12">
      <x:c r="A12" t="str">
        <x:v>C0178</x:v>
      </x:c>
      <x:c r="B12" t="str">
        <x:v>Elijah Harris</x:v>
      </x:c>
      <x:c r="C12" t="str">
        <x:v>Small Business</x:v>
      </x:c>
      <x:c r="D12" t="str">
        <x:v>Referral</x:v>
      </x:c>
      <x:c r="E12" t="str">
        <x:v>2025-11-17</x:v>
      </x:c>
      <x:c r="F12" t="n">
        <x:v>45</x:v>
      </x:c>
      <x:c r="G12" t="n">
        <x:v>25</x:v>
      </x:c>
      <x:c r="H12" s="1" t="n">
        <x:v>14621.17</x:v>
      </x:c>
      <x:c r="I12" t="n">
        <x:v>4</x:v>
      </x:c>
      <x:c r="J12" t="n">
        <x:v>5</x:v>
      </x:c>
      <x:c r="K12" t="n">
        <x:v>5</x:v>
      </x:c>
      <x:c r="L12" t="str">
        <x:v>Champions</x:v>
      </x:c>
    </x:row>
    <x:row r="13">
      <x:c r="A13" t="str">
        <x:v>C0226</x:v>
      </x:c>
      <x:c r="B13" t="str">
        <x:v>Emma Moore</x:v>
      </x:c>
      <x:c r="C13" t="str">
        <x:v>Small Business</x:v>
      </x:c>
      <x:c r="D13" t="str">
        <x:v>Organic Search</x:v>
      </x:c>
      <x:c r="E13" t="str">
        <x:v>2025-12-14</x:v>
      </x:c>
      <x:c r="F13" t="n">
        <x:v>18</x:v>
      </x:c>
      <x:c r="G13" t="n">
        <x:v>32</x:v>
      </x:c>
      <x:c r="H13" s="1" t="n">
        <x:v>14395.22</x:v>
      </x:c>
      <x:c r="I13" t="n">
        <x:v>5</x:v>
      </x:c>
      <x:c r="J13" t="n">
        <x:v>5</x:v>
      </x:c>
      <x:c r="K13" t="n">
        <x:v>5</x:v>
      </x:c>
      <x:c r="L13" t="str">
        <x:v>Champions</x:v>
      </x:c>
    </x:row>
    <x:row r="14">
      <x:c r="A14" t="str">
        <x:v>C0546</x:v>
      </x:c>
      <x:c r="B14" t="str">
        <x:v>Ethan Anderson</x:v>
      </x:c>
      <x:c r="C14" t="str">
        <x:v>Corporate</x:v>
      </x:c>
      <x:c r="D14" t="str">
        <x:v>Paid Search</x:v>
      </x:c>
      <x:c r="E14" t="str">
        <x:v>2025-12-28</x:v>
      </x:c>
      <x:c r="F14" t="n">
        <x:v>4</x:v>
      </x:c>
      <x:c r="G14" t="n">
        <x:v>32</x:v>
      </x:c>
      <x:c r="H14" s="1" t="n">
        <x:v>14351.44</x:v>
      </x:c>
      <x:c r="I14" t="n">
        <x:v>5</x:v>
      </x:c>
      <x:c r="J14" t="n">
        <x:v>5</x:v>
      </x:c>
      <x:c r="K14" t="n">
        <x:v>5</x:v>
      </x:c>
      <x:c r="L14" t="str">
        <x:v>Champions</x:v>
      </x:c>
    </x:row>
    <x:row r="15">
      <x:c r="A15" t="str">
        <x:v>C0295</x:v>
      </x:c>
      <x:c r="B15" t="str">
        <x:v>Noah Anderson</x:v>
      </x:c>
      <x:c r="C15" t="str">
        <x:v>Consumer</x:v>
      </x:c>
      <x:c r="D15" t="str">
        <x:v>Organic Search</x:v>
      </x:c>
      <x:c r="E15" t="str">
        <x:v>2025-12-23</x:v>
      </x:c>
      <x:c r="F15" t="n">
        <x:v>9</x:v>
      </x:c>
      <x:c r="G15" t="n">
        <x:v>20</x:v>
      </x:c>
      <x:c r="H15" s="1" t="n">
        <x:v>13970.04</x:v>
      </x:c>
      <x:c r="I15" t="n">
        <x:v>5</x:v>
      </x:c>
      <x:c r="J15" t="n">
        <x:v>5</x:v>
      </x:c>
      <x:c r="K15" t="n">
        <x:v>5</x:v>
      </x:c>
      <x:c r="L15" t="str">
        <x:v>Champions</x:v>
      </x:c>
    </x:row>
    <x:row r="16">
      <x:c r="A16" t="str">
        <x:v>C0330</x:v>
      </x:c>
      <x:c r="B16" t="str">
        <x:v>Emma Moore</x:v>
      </x:c>
      <x:c r="C16" t="str">
        <x:v>Consumer</x:v>
      </x:c>
      <x:c r="D16" t="str">
        <x:v>Social</x:v>
      </x:c>
      <x:c r="E16" t="str">
        <x:v>2025-12-01</x:v>
      </x:c>
      <x:c r="F16" t="n">
        <x:v>31</x:v>
      </x:c>
      <x:c r="G16" t="n">
        <x:v>36</x:v>
      </x:c>
      <x:c r="H16" s="1" t="n">
        <x:v>13882.31</x:v>
      </x:c>
      <x:c r="I16" t="n">
        <x:v>4</x:v>
      </x:c>
      <x:c r="J16" t="n">
        <x:v>5</x:v>
      </x:c>
      <x:c r="K16" t="n">
        <x:v>5</x:v>
      </x:c>
      <x:c r="L16" t="str">
        <x:v>Champions</x:v>
      </x:c>
    </x:row>
    <x:row r="17">
      <x:c r="A17" t="str">
        <x:v>C0278</x:v>
      </x:c>
      <x:c r="B17" t="str">
        <x:v>Sophia Jackson</x:v>
      </x:c>
      <x:c r="C17" t="str">
        <x:v>Consumer</x:v>
      </x:c>
      <x:c r="D17" t="str">
        <x:v>Referral</x:v>
      </x:c>
      <x:c r="E17" t="str">
        <x:v>2025-11-25</x:v>
      </x:c>
      <x:c r="F17" t="n">
        <x:v>37</x:v>
      </x:c>
      <x:c r="G17" t="n">
        <x:v>26</x:v>
      </x:c>
      <x:c r="H17" s="1" t="n">
        <x:v>13710.95</x:v>
      </x:c>
      <x:c r="I17" t="n">
        <x:v>4</x:v>
      </x:c>
      <x:c r="J17" t="n">
        <x:v>5</x:v>
      </x:c>
      <x:c r="K17" t="n">
        <x:v>5</x:v>
      </x:c>
      <x:c r="L17" t="str">
        <x:v>Champions</x:v>
      </x:c>
    </x:row>
    <x:row r="18">
      <x:c r="A18" t="str">
        <x:v>C0617</x:v>
      </x:c>
      <x:c r="B18" t="str">
        <x:v>Mia Walker</x:v>
      </x:c>
      <x:c r="C18" t="str">
        <x:v>Small Business</x:v>
      </x:c>
      <x:c r="D18" t="str">
        <x:v>Paid Search</x:v>
      </x:c>
      <x:c r="E18" t="str">
        <x:v>2025-11-15</x:v>
      </x:c>
      <x:c r="F18" t="n">
        <x:v>47</x:v>
      </x:c>
      <x:c r="G18" t="n">
        <x:v>25</x:v>
      </x:c>
      <x:c r="H18" s="1" t="n">
        <x:v>13461.99</x:v>
      </x:c>
      <x:c r="I18" t="n">
        <x:v>4</x:v>
      </x:c>
      <x:c r="J18" t="n">
        <x:v>5</x:v>
      </x:c>
      <x:c r="K18" t="n">
        <x:v>5</x:v>
      </x:c>
      <x:c r="L18" t="str">
        <x:v>Champions</x:v>
      </x:c>
    </x:row>
    <x:row r="19">
      <x:c r="A19" t="str">
        <x:v>C0201</x:v>
      </x:c>
      <x:c r="B19" t="str">
        <x:v>Leo Clark</x:v>
      </x:c>
      <x:c r="C19" t="str">
        <x:v>Consumer</x:v>
      </x:c>
      <x:c r="D19" t="str">
        <x:v>Organic Search</x:v>
      </x:c>
      <x:c r="E19" t="str">
        <x:v>2025-12-30</x:v>
      </x:c>
      <x:c r="F19" t="n">
        <x:v>2</x:v>
      </x:c>
      <x:c r="G19" t="n">
        <x:v>25</x:v>
      </x:c>
      <x:c r="H19" s="1" t="n">
        <x:v>13403.1</x:v>
      </x:c>
      <x:c r="I19" t="n">
        <x:v>5</x:v>
      </x:c>
      <x:c r="J19" t="n">
        <x:v>5</x:v>
      </x:c>
      <x:c r="K19" t="n">
        <x:v>5</x:v>
      </x:c>
      <x:c r="L19" t="str">
        <x:v>Champions</x:v>
      </x:c>
    </x:row>
    <x:row r="20">
      <x:c r="A20" t="str">
        <x:v>C0563</x:v>
      </x:c>
      <x:c r="B20" t="str">
        <x:v>Amelia Davis</x:v>
      </x:c>
      <x:c r="C20" t="str">
        <x:v>Small Business</x:v>
      </x:c>
      <x:c r="D20" t="str">
        <x:v>Email</x:v>
      </x:c>
      <x:c r="E20" t="str">
        <x:v>2025-11-10</x:v>
      </x:c>
      <x:c r="F20" t="n">
        <x:v>52</x:v>
      </x:c>
      <x:c r="G20" t="n">
        <x:v>24</x:v>
      </x:c>
      <x:c r="H20" s="1" t="n">
        <x:v>13145.52</x:v>
      </x:c>
      <x:c r="I20" t="n">
        <x:v>4</x:v>
      </x:c>
      <x:c r="J20" t="n">
        <x:v>5</x:v>
      </x:c>
      <x:c r="K20" t="n">
        <x:v>5</x:v>
      </x:c>
      <x:c r="L20" t="str">
        <x:v>Champions</x:v>
      </x:c>
    </x:row>
    <x:row r="21">
      <x:c r="A21" t="str">
        <x:v>C0483</x:v>
      </x:c>
      <x:c r="B21" t="str">
        <x:v>Sophia Brown</x:v>
      </x:c>
      <x:c r="C21" t="str">
        <x:v>Consumer</x:v>
      </x:c>
      <x:c r="D21" t="str">
        <x:v>Organic Search</x:v>
      </x:c>
      <x:c r="E21" t="str">
        <x:v>2025-12-30</x:v>
      </x:c>
      <x:c r="F21" t="n">
        <x:v>2</x:v>
      </x:c>
      <x:c r="G21" t="n">
        <x:v>28</x:v>
      </x:c>
      <x:c r="H21" s="1" t="n">
        <x:v>13112.04</x:v>
      </x:c>
      <x:c r="I21" t="n">
        <x:v>5</x:v>
      </x:c>
      <x:c r="J21" t="n">
        <x:v>5</x:v>
      </x:c>
      <x:c r="K21" t="n">
        <x:v>5</x:v>
      </x:c>
      <x:c r="L21" t="str">
        <x:v>Champions</x:v>
      </x:c>
    </x:row>
    <x:row r="22">
      <x:c r="A22" t="str">
        <x:v>C0715</x:v>
      </x:c>
      <x:c r="B22" t="str">
        <x:v>Nora Lewis</x:v>
      </x:c>
      <x:c r="C22" t="str">
        <x:v>Corporate</x:v>
      </x:c>
      <x:c r="D22" t="str">
        <x:v>Organic Search</x:v>
      </x:c>
      <x:c r="E22" t="str">
        <x:v>2025-12-20</x:v>
      </x:c>
      <x:c r="F22" t="n">
        <x:v>12</x:v>
      </x:c>
      <x:c r="G22" t="n">
        <x:v>24</x:v>
      </x:c>
      <x:c r="H22" s="1" t="n">
        <x:v>13013.84</x:v>
      </x:c>
      <x:c r="I22" t="n">
        <x:v>5</x:v>
      </x:c>
      <x:c r="J22" t="n">
        <x:v>5</x:v>
      </x:c>
      <x:c r="K22" t="n">
        <x:v>5</x:v>
      </x:c>
      <x:c r="L22" t="str">
        <x:v>Champions</x:v>
      </x:c>
    </x:row>
    <x:row r="23">
      <x:c r="A23" t="str">
        <x:v>C0414</x:v>
      </x:c>
      <x:c r="B23" t="str">
        <x:v>Ethan Harris</x:v>
      </x:c>
      <x:c r="C23" t="str">
        <x:v>Consumer</x:v>
      </x:c>
      <x:c r="D23" t="str">
        <x:v>Paid Search</x:v>
      </x:c>
      <x:c r="E23" t="str">
        <x:v>2025-11-13</x:v>
      </x:c>
      <x:c r="F23" t="n">
        <x:v>49</x:v>
      </x:c>
      <x:c r="G23" t="n">
        <x:v>14</x:v>
      </x:c>
      <x:c r="H23" s="1" t="n">
        <x:v>12862.25</x:v>
      </x:c>
      <x:c r="I23" t="n">
        <x:v>4</x:v>
      </x:c>
      <x:c r="J23" t="n">
        <x:v>4</x:v>
      </x:c>
      <x:c r="K23" t="n">
        <x:v>5</x:v>
      </x:c>
      <x:c r="L23" t="str">
        <x:v>Loyal</x:v>
      </x:c>
    </x:row>
    <x:row r="24">
      <x:c r="A24" t="str">
        <x:v>C0081</x:v>
      </x:c>
      <x:c r="B24" t="str">
        <x:v>Lucas Walker</x:v>
      </x:c>
      <x:c r="C24" t="str">
        <x:v>Small Business</x:v>
      </x:c>
      <x:c r="D24" t="str">
        <x:v>Social</x:v>
      </x:c>
      <x:c r="E24" t="str">
        <x:v>2025-12-24</x:v>
      </x:c>
      <x:c r="F24" t="n">
        <x:v>8</x:v>
      </x:c>
      <x:c r="G24" t="n">
        <x:v>32</x:v>
      </x:c>
      <x:c r="H24" s="1" t="n">
        <x:v>12720.18</x:v>
      </x:c>
      <x:c r="I24" t="n">
        <x:v>5</x:v>
      </x:c>
      <x:c r="J24" t="n">
        <x:v>5</x:v>
      </x:c>
      <x:c r="K24" t="n">
        <x:v>5</x:v>
      </x:c>
      <x:c r="L24" t="str">
        <x:v>Champions</x:v>
      </x:c>
    </x:row>
    <x:row r="25">
      <x:c r="A25" t="str">
        <x:v>C0088</x:v>
      </x:c>
      <x:c r="B25" t="str">
        <x:v>Aria White</x:v>
      </x:c>
      <x:c r="C25" t="str">
        <x:v>Consumer</x:v>
      </x:c>
      <x:c r="D25" t="str">
        <x:v>Organic Search</x:v>
      </x:c>
      <x:c r="E25" t="str">
        <x:v>2025-11-30</x:v>
      </x:c>
      <x:c r="F25" t="n">
        <x:v>32</x:v>
      </x:c>
      <x:c r="G25" t="n">
        <x:v>27</x:v>
      </x:c>
      <x:c r="H25" s="1" t="n">
        <x:v>12369.22</x:v>
      </x:c>
      <x:c r="I25" t="n">
        <x:v>4</x:v>
      </x:c>
      <x:c r="J25" t="n">
        <x:v>5</x:v>
      </x:c>
      <x:c r="K25" t="n">
        <x:v>5</x:v>
      </x:c>
      <x:c r="L25" t="str">
        <x:v>Champions</x:v>
      </x:c>
    </x:row>
    <x:row r="26">
      <x:c r="A26" t="str">
        <x:v>C0441</x:v>
      </x:c>
      <x:c r="B26" t="str">
        <x:v>Mason Clark</x:v>
      </x:c>
      <x:c r="C26" t="str">
        <x:v>Corporate</x:v>
      </x:c>
      <x:c r="D26" t="str">
        <x:v>Email</x:v>
      </x:c>
      <x:c r="E26" t="str">
        <x:v>2025-12-18</x:v>
      </x:c>
      <x:c r="F26" t="n">
        <x:v>14</x:v>
      </x:c>
      <x:c r="G26" t="n">
        <x:v>33</x:v>
      </x:c>
      <x:c r="H26" s="1" t="n">
        <x:v>12283.91</x:v>
      </x:c>
      <x:c r="I26" t="n">
        <x:v>5</x:v>
      </x:c>
      <x:c r="J26" t="n">
        <x:v>5</x:v>
      </x:c>
      <x:c r="K26" t="n">
        <x:v>5</x:v>
      </x:c>
      <x:c r="L26" t="str">
        <x:v>Champions</x:v>
      </x:c>
    </x:row>
    <x:row r="27">
      <x:c r="A27" t="str">
        <x:v>C0689</x:v>
      </x:c>
      <x:c r="B27" t="str">
        <x:v>Elijah Garcia</x:v>
      </x:c>
      <x:c r="C27" t="str">
        <x:v>Corporate</x:v>
      </x:c>
      <x:c r="D27" t="str">
        <x:v>Email</x:v>
      </x:c>
      <x:c r="E27" t="str">
        <x:v>2025-11-03</x:v>
      </x:c>
      <x:c r="F27" t="n">
        <x:v>59</x:v>
      </x:c>
      <x:c r="G27" t="n">
        <x:v>23</x:v>
      </x:c>
      <x:c r="H27" s="1" t="n">
        <x:v>12246.85</x:v>
      </x:c>
      <x:c r="I27" t="n">
        <x:v>4</x:v>
      </x:c>
      <x:c r="J27" t="n">
        <x:v>5</x:v>
      </x:c>
      <x:c r="K27" t="n">
        <x:v>5</x:v>
      </x:c>
      <x:c r="L27" t="str">
        <x:v>Champions</x:v>
      </x:c>
    </x:row>
    <x:row r="28">
      <x:c r="A28" t="str">
        <x:v>C0373</x:v>
      </x:c>
      <x:c r="B28" t="str">
        <x:v>Sophia Walker</x:v>
      </x:c>
      <x:c r="C28" t="str">
        <x:v>Corporate</x:v>
      </x:c>
      <x:c r="D28" t="str">
        <x:v>Marketplace</x:v>
      </x:c>
      <x:c r="E28" t="str">
        <x:v>2025-11-15</x:v>
      </x:c>
      <x:c r="F28" t="n">
        <x:v>47</x:v>
      </x:c>
      <x:c r="G28" t="n">
        <x:v>28</x:v>
      </x:c>
      <x:c r="H28" s="1" t="n">
        <x:v>11981.35</x:v>
      </x:c>
      <x:c r="I28" t="n">
        <x:v>4</x:v>
      </x:c>
      <x:c r="J28" t="n">
        <x:v>5</x:v>
      </x:c>
      <x:c r="K28" t="n">
        <x:v>5</x:v>
      </x:c>
      <x:c r="L28" t="str">
        <x:v>Champions</x:v>
      </x:c>
    </x:row>
    <x:row r="29">
      <x:c r="A29" t="str">
        <x:v>C0337</x:v>
      </x:c>
      <x:c r="B29" t="str">
        <x:v>Amelia Anderson</x:v>
      </x:c>
      <x:c r="C29" t="str">
        <x:v>Small Business</x:v>
      </x:c>
      <x:c r="D29" t="str">
        <x:v>Paid Search</x:v>
      </x:c>
      <x:c r="E29" t="str">
        <x:v>2025-12-13</x:v>
      </x:c>
      <x:c r="F29" t="n">
        <x:v>19</x:v>
      </x:c>
      <x:c r="G29" t="n">
        <x:v>16</x:v>
      </x:c>
      <x:c r="H29" s="1" t="n">
        <x:v>11892.63</x:v>
      </x:c>
      <x:c r="I29" t="n">
        <x:v>5</x:v>
      </x:c>
      <x:c r="J29" t="n">
        <x:v>5</x:v>
      </x:c>
      <x:c r="K29" t="n">
        <x:v>5</x:v>
      </x:c>
      <x:c r="L29" t="str">
        <x:v>Champions</x:v>
      </x:c>
    </x:row>
    <x:row r="30">
      <x:c r="A30" t="str">
        <x:v>C0381</x:v>
      </x:c>
      <x:c r="B30" t="str">
        <x:v>Layla Johnson</x:v>
      </x:c>
      <x:c r="C30" t="str">
        <x:v>Corporate</x:v>
      </x:c>
      <x:c r="D30" t="str">
        <x:v>Social</x:v>
      </x:c>
      <x:c r="E30" t="str">
        <x:v>2025-12-01</x:v>
      </x:c>
      <x:c r="F30" t="n">
        <x:v>31</x:v>
      </x:c>
      <x:c r="G30" t="n">
        <x:v>26</x:v>
      </x:c>
      <x:c r="H30" s="1" t="n">
        <x:v>11846.48</x:v>
      </x:c>
      <x:c r="I30" t="n">
        <x:v>4</x:v>
      </x:c>
      <x:c r="J30" t="n">
        <x:v>5</x:v>
      </x:c>
      <x:c r="K30" t="n">
        <x:v>5</x:v>
      </x:c>
      <x:c r="L30" t="str">
        <x:v>Champions</x:v>
      </x:c>
    </x:row>
    <x:row r="31">
      <x:c r="A31" t="str">
        <x:v>C0519</x:v>
      </x:c>
      <x:c r="B31" t="str">
        <x:v>Ethan Harris</x:v>
      </x:c>
      <x:c r="C31" t="str">
        <x:v>Corporate</x:v>
      </x:c>
      <x:c r="D31" t="str">
        <x:v>Organic Search</x:v>
      </x:c>
      <x:c r="E31" t="str">
        <x:v>2025-12-30</x:v>
      </x:c>
      <x:c r="F31" t="n">
        <x:v>2</x:v>
      </x:c>
      <x:c r="G31" t="n">
        <x:v>20</x:v>
      </x:c>
      <x:c r="H31" s="1" t="n">
        <x:v>11829.47</x:v>
      </x:c>
      <x:c r="I31" t="n">
        <x:v>5</x:v>
      </x:c>
      <x:c r="J31" t="n">
        <x:v>5</x:v>
      </x:c>
      <x:c r="K31" t="n">
        <x:v>5</x:v>
      </x:c>
      <x:c r="L31" t="str">
        <x:v>Champions</x:v>
      </x:c>
    </x:row>
    <x:row r="32">
      <x:c r="A32" t="str">
        <x:v>C0611</x:v>
      </x:c>
      <x:c r="B32" t="str">
        <x:v>Elijah Jackson</x:v>
      </x:c>
      <x:c r="C32" t="str">
        <x:v>Small Business</x:v>
      </x:c>
      <x:c r="D32" t="str">
        <x:v>Paid Search</x:v>
      </x:c>
      <x:c r="E32" t="str">
        <x:v>2025-10-18</x:v>
      </x:c>
      <x:c r="F32" t="n">
        <x:v>75</x:v>
      </x:c>
      <x:c r="G32" t="n">
        <x:v>29</x:v>
      </x:c>
      <x:c r="H32" s="1" t="n">
        <x:v>11694.39</x:v>
      </x:c>
      <x:c r="I32" t="n">
        <x:v>3</x:v>
      </x:c>
      <x:c r="J32" t="n">
        <x:v>5</x:v>
      </x:c>
      <x:c r="K32" t="n">
        <x:v>5</x:v>
      </x:c>
      <x:c r="L32" t="str">
        <x:v>Potential Loyalist</x:v>
      </x:c>
    </x:row>
    <x:row r="33">
      <x:c r="A33" t="str">
        <x:v>C0012</x:v>
      </x:c>
      <x:c r="B33" t="str">
        <x:v>Aria Kim</x:v>
      </x:c>
      <x:c r="C33" t="str">
        <x:v>Corporate</x:v>
      </x:c>
      <x:c r="D33" t="str">
        <x:v>Marketplace</x:v>
      </x:c>
      <x:c r="E33" t="str">
        <x:v>2025-09-16</x:v>
      </x:c>
      <x:c r="F33" t="n">
        <x:v>107</x:v>
      </x:c>
      <x:c r="G33" t="n">
        <x:v>25</x:v>
      </x:c>
      <x:c r="H33" s="1" t="n">
        <x:v>11612.23</x:v>
      </x:c>
      <x:c r="I33" t="n">
        <x:v>3</x:v>
      </x:c>
      <x:c r="J33" t="n">
        <x:v>5</x:v>
      </x:c>
      <x:c r="K33" t="n">
        <x:v>5</x:v>
      </x:c>
      <x:c r="L33" t="str">
        <x:v>Potential Loyalist</x:v>
      </x:c>
    </x:row>
    <x:row r="34">
      <x:c r="A34" t="str">
        <x:v>C0333</x:v>
      </x:c>
      <x:c r="B34" t="str">
        <x:v>Olivia Wilson</x:v>
      </x:c>
      <x:c r="C34" t="str">
        <x:v>Consumer</x:v>
      </x:c>
      <x:c r="D34" t="str">
        <x:v>Referral</x:v>
      </x:c>
      <x:c r="E34" t="str">
        <x:v>2025-11-06</x:v>
      </x:c>
      <x:c r="F34" t="n">
        <x:v>56</x:v>
      </x:c>
      <x:c r="G34" t="n">
        <x:v>26</x:v>
      </x:c>
      <x:c r="H34" s="1" t="n">
        <x:v>11593.1</x:v>
      </x:c>
      <x:c r="I34" t="n">
        <x:v>4</x:v>
      </x:c>
      <x:c r="J34" t="n">
        <x:v>5</x:v>
      </x:c>
      <x:c r="K34" t="n">
        <x:v>5</x:v>
      </x:c>
      <x:c r="L34" t="str">
        <x:v>Champions</x:v>
      </x:c>
    </x:row>
    <x:row r="35">
      <x:c r="A35" t="str">
        <x:v>C0551</x:v>
      </x:c>
      <x:c r="B35" t="str">
        <x:v>Elijah Moore</x:v>
      </x:c>
      <x:c r="C35" t="str">
        <x:v>Consumer</x:v>
      </x:c>
      <x:c r="D35" t="str">
        <x:v>Referral</x:v>
      </x:c>
      <x:c r="E35" t="str">
        <x:v>2025-09-25</x:v>
      </x:c>
      <x:c r="F35" t="n">
        <x:v>98</x:v>
      </x:c>
      <x:c r="G35" t="n">
        <x:v>24</x:v>
      </x:c>
      <x:c r="H35" s="1" t="n">
        <x:v>11582.4</x:v>
      </x:c>
      <x:c r="I35" t="n">
        <x:v>3</x:v>
      </x:c>
      <x:c r="J35" t="n">
        <x:v>5</x:v>
      </x:c>
      <x:c r="K35" t="n">
        <x:v>5</x:v>
      </x:c>
      <x:c r="L35" t="str">
        <x:v>Potential Loyalist</x:v>
      </x:c>
    </x:row>
    <x:row r="36">
      <x:c r="A36" t="str">
        <x:v>C0391</x:v>
      </x:c>
      <x:c r="B36" t="str">
        <x:v>Ethan Clark</x:v>
      </x:c>
      <x:c r="C36" t="str">
        <x:v>Small Business</x:v>
      </x:c>
      <x:c r="D36" t="str">
        <x:v>Referral</x:v>
      </x:c>
      <x:c r="E36" t="str">
        <x:v>2025-09-28</x:v>
      </x:c>
      <x:c r="F36" t="n">
        <x:v>95</x:v>
      </x:c>
      <x:c r="G36" t="n">
        <x:v>26</x:v>
      </x:c>
      <x:c r="H36" s="1" t="n">
        <x:v>11499.73</x:v>
      </x:c>
      <x:c r="I36" t="n">
        <x:v>3</x:v>
      </x:c>
      <x:c r="J36" t="n">
        <x:v>5</x:v>
      </x:c>
      <x:c r="K36" t="n">
        <x:v>5</x:v>
      </x:c>
      <x:c r="L36" t="str">
        <x:v>Potential Loyalist</x:v>
      </x:c>
    </x:row>
    <x:row r="37">
      <x:c r="A37" t="str">
        <x:v>C0450</x:v>
      </x:c>
      <x:c r="B37" t="str">
        <x:v>Nora Harris</x:v>
      </x:c>
      <x:c r="C37" t="str">
        <x:v>Corporate</x:v>
      </x:c>
      <x:c r="D37" t="str">
        <x:v>Organic Search</x:v>
      </x:c>
      <x:c r="E37" t="str">
        <x:v>2025-11-06</x:v>
      </x:c>
      <x:c r="F37" t="n">
        <x:v>56</x:v>
      </x:c>
      <x:c r="G37" t="n">
        <x:v>24</x:v>
      </x:c>
      <x:c r="H37" s="1" t="n">
        <x:v>11454.85</x:v>
      </x:c>
      <x:c r="I37" t="n">
        <x:v>4</x:v>
      </x:c>
      <x:c r="J37" t="n">
        <x:v>5</x:v>
      </x:c>
      <x:c r="K37" t="n">
        <x:v>5</x:v>
      </x:c>
      <x:c r="L37" t="str">
        <x:v>Champions</x:v>
      </x:c>
    </x:row>
    <x:row r="38">
      <x:c r="A38" t="str">
        <x:v>C0509</x:v>
      </x:c>
      <x:c r="B38" t="str">
        <x:v>Lucas Lee</x:v>
      </x:c>
      <x:c r="C38" t="str">
        <x:v>Corporate</x:v>
      </x:c>
      <x:c r="D38" t="str">
        <x:v>Organic Search</x:v>
      </x:c>
      <x:c r="E38" t="str">
        <x:v>2025-11-19</x:v>
      </x:c>
      <x:c r="F38" t="n">
        <x:v>43</x:v>
      </x:c>
      <x:c r="G38" t="n">
        <x:v>27</x:v>
      </x:c>
      <x:c r="H38" s="1" t="n">
        <x:v>11355.22</x:v>
      </x:c>
      <x:c r="I38" t="n">
        <x:v>4</x:v>
      </x:c>
      <x:c r="J38" t="n">
        <x:v>5</x:v>
      </x:c>
      <x:c r="K38" t="n">
        <x:v>5</x:v>
      </x:c>
      <x:c r="L38" t="str">
        <x:v>Champions</x:v>
      </x:c>
    </x:row>
    <x:row r="39">
      <x:c r="A39" t="str">
        <x:v>C0707</x:v>
      </x:c>
      <x:c r="B39" t="str">
        <x:v>Lucas Lewis</x:v>
      </x:c>
      <x:c r="C39" t="str">
        <x:v>Consumer</x:v>
      </x:c>
      <x:c r="D39" t="str">
        <x:v>Organic Search</x:v>
      </x:c>
      <x:c r="E39" t="str">
        <x:v>2025-12-15</x:v>
      </x:c>
      <x:c r="F39" t="n">
        <x:v>17</x:v>
      </x:c>
      <x:c r="G39" t="n">
        <x:v>21</x:v>
      </x:c>
      <x:c r="H39" s="1" t="n">
        <x:v>11235.97</x:v>
      </x:c>
      <x:c r="I39" t="n">
        <x:v>5</x:v>
      </x:c>
      <x:c r="J39" t="n">
        <x:v>5</x:v>
      </x:c>
      <x:c r="K39" t="n">
        <x:v>5</x:v>
      </x:c>
      <x:c r="L39" t="str">
        <x:v>Champions</x:v>
      </x:c>
    </x:row>
    <x:row r="40">
      <x:c r="A40" t="str">
        <x:v>C0526</x:v>
      </x:c>
      <x:c r="B40" t="str">
        <x:v>Leo Patel</x:v>
      </x:c>
      <x:c r="C40" t="str">
        <x:v>Consumer</x:v>
      </x:c>
      <x:c r="D40" t="str">
        <x:v>Organic Search</x:v>
      </x:c>
      <x:c r="E40" t="str">
        <x:v>2025-12-30</x:v>
      </x:c>
      <x:c r="F40" t="n">
        <x:v>2</x:v>
      </x:c>
      <x:c r="G40" t="n">
        <x:v>30</x:v>
      </x:c>
      <x:c r="H40" s="1" t="n">
        <x:v>11226.75</x:v>
      </x:c>
      <x:c r="I40" t="n">
        <x:v>5</x:v>
      </x:c>
      <x:c r="J40" t="n">
        <x:v>5</x:v>
      </x:c>
      <x:c r="K40" t="n">
        <x:v>5</x:v>
      </x:c>
      <x:c r="L40" t="str">
        <x:v>Champions</x:v>
      </x:c>
    </x:row>
    <x:row r="41">
      <x:c r="A41" t="str">
        <x:v>C0420</x:v>
      </x:c>
      <x:c r="B41" t="str">
        <x:v>Mia Moore</x:v>
      </x:c>
      <x:c r="C41" t="str">
        <x:v>Small Business</x:v>
      </x:c>
      <x:c r="D41" t="str">
        <x:v>Paid Search</x:v>
      </x:c>
      <x:c r="E41" t="str">
        <x:v>2025-12-12</x:v>
      </x:c>
      <x:c r="F41" t="n">
        <x:v>20</x:v>
      </x:c>
      <x:c r="G41" t="n">
        <x:v>15</x:v>
      </x:c>
      <x:c r="H41" s="1" t="n">
        <x:v>11187.61</x:v>
      </x:c>
      <x:c r="I41" t="n">
        <x:v>5</x:v>
      </x:c>
      <x:c r="J41" t="n">
        <x:v>4</x:v>
      </x:c>
      <x:c r="K41" t="n">
        <x:v>5</x:v>
      </x:c>
      <x:c r="L41" t="str">
        <x:v>Champions</x:v>
      </x:c>
    </x:row>
    <x:row r="42">
      <x:c r="A42" t="str">
        <x:v>C0464</x:v>
      </x:c>
      <x:c r="B42" t="str">
        <x:v>Ethan Lee</x:v>
      </x:c>
      <x:c r="C42" t="str">
        <x:v>Corporate</x:v>
      </x:c>
      <x:c r="D42" t="str">
        <x:v>Social</x:v>
      </x:c>
      <x:c r="E42" t="str">
        <x:v>2025-12-19</x:v>
      </x:c>
      <x:c r="F42" t="n">
        <x:v>13</x:v>
      </x:c>
      <x:c r="G42" t="n">
        <x:v>30</x:v>
      </x:c>
      <x:c r="H42" s="1" t="n">
        <x:v>11146.19</x:v>
      </x:c>
      <x:c r="I42" t="n">
        <x:v>5</x:v>
      </x:c>
      <x:c r="J42" t="n">
        <x:v>5</x:v>
      </x:c>
      <x:c r="K42" t="n">
        <x:v>5</x:v>
      </x:c>
      <x:c r="L42" t="str">
        <x:v>Champions</x:v>
      </x:c>
    </x:row>
    <x:row r="43">
      <x:c r="A43" t="str">
        <x:v>C0498</x:v>
      </x:c>
      <x:c r="B43" t="str">
        <x:v>Mia Kim</x:v>
      </x:c>
      <x:c r="C43" t="str">
        <x:v>Small Business</x:v>
      </x:c>
      <x:c r="D43" t="str">
        <x:v>Referral</x:v>
      </x:c>
      <x:c r="E43" t="str">
        <x:v>2025-12-28</x:v>
      </x:c>
      <x:c r="F43" t="n">
        <x:v>4</x:v>
      </x:c>
      <x:c r="G43" t="n">
        <x:v>26</x:v>
      </x:c>
      <x:c r="H43" s="1" t="n">
        <x:v>11136.92</x:v>
      </x:c>
      <x:c r="I43" t="n">
        <x:v>5</x:v>
      </x:c>
      <x:c r="J43" t="n">
        <x:v>5</x:v>
      </x:c>
      <x:c r="K43" t="n">
        <x:v>5</x:v>
      </x:c>
      <x:c r="L43" t="str">
        <x:v>Champions</x:v>
      </x:c>
    </x:row>
    <x:row r="44">
      <x:c r="A44" t="str">
        <x:v>C0405</x:v>
      </x:c>
      <x:c r="B44" t="str">
        <x:v>Zoe Brown</x:v>
      </x:c>
      <x:c r="C44" t="str">
        <x:v>Small Business</x:v>
      </x:c>
      <x:c r="D44" t="str">
        <x:v>Marketplace</x:v>
      </x:c>
      <x:c r="E44" t="str">
        <x:v>2025-11-20</x:v>
      </x:c>
      <x:c r="F44" t="n">
        <x:v>42</x:v>
      </x:c>
      <x:c r="G44" t="n">
        <x:v>22</x:v>
      </x:c>
      <x:c r="H44" s="1" t="n">
        <x:v>11129.19</x:v>
      </x:c>
      <x:c r="I44" t="n">
        <x:v>4</x:v>
      </x:c>
      <x:c r="J44" t="n">
        <x:v>5</x:v>
      </x:c>
      <x:c r="K44" t="n">
        <x:v>5</x:v>
      </x:c>
      <x:c r="L44" t="str">
        <x:v>Champions</x:v>
      </x:c>
    </x:row>
    <x:row r="45">
      <x:c r="A45" t="str">
        <x:v>C0031</x:v>
      </x:c>
      <x:c r="B45" t="str">
        <x:v>Amelia Walker</x:v>
      </x:c>
      <x:c r="C45" t="str">
        <x:v>Corporate</x:v>
      </x:c>
      <x:c r="D45" t="str">
        <x:v>Paid Search</x:v>
      </x:c>
      <x:c r="E45" t="str">
        <x:v>2025-06-16</x:v>
      </x:c>
      <x:c r="F45" t="n">
        <x:v>199</x:v>
      </x:c>
      <x:c r="G45" t="n">
        <x:v>19</x:v>
      </x:c>
      <x:c r="H45" s="1" t="n">
        <x:v>11104.04</x:v>
      </x:c>
      <x:c r="I45" t="n">
        <x:v>2</x:v>
      </x:c>
      <x:c r="J45" t="n">
        <x:v>5</x:v>
      </x:c>
      <x:c r="K45" t="n">
        <x:v>5</x:v>
      </x:c>
      <x:c r="L45" t="str">
        <x:v>At Risk</x:v>
      </x:c>
    </x:row>
    <x:row r="46">
      <x:c r="A46" t="str">
        <x:v>C0606</x:v>
      </x:c>
      <x:c r="B46" t="str">
        <x:v>Leo Thomas</x:v>
      </x:c>
      <x:c r="C46" t="str">
        <x:v>Consumer</x:v>
      </x:c>
      <x:c r="D46" t="str">
        <x:v>Organic Search</x:v>
      </x:c>
      <x:c r="E46" t="str">
        <x:v>2025-11-18</x:v>
      </x:c>
      <x:c r="F46" t="n">
        <x:v>44</x:v>
      </x:c>
      <x:c r="G46" t="n">
        <x:v>26</x:v>
      </x:c>
      <x:c r="H46" s="1" t="n">
        <x:v>11006.53</x:v>
      </x:c>
      <x:c r="I46" t="n">
        <x:v>4</x:v>
      </x:c>
      <x:c r="J46" t="n">
        <x:v>5</x:v>
      </x:c>
      <x:c r="K46" t="n">
        <x:v>5</x:v>
      </x:c>
      <x:c r="L46" t="str">
        <x:v>Champions</x:v>
      </x:c>
    </x:row>
    <x:row r="47">
      <x:c r="A47" t="str">
        <x:v>C0591</x:v>
      </x:c>
      <x:c r="B47" t="str">
        <x:v>Nora Patel</x:v>
      </x:c>
      <x:c r="C47" t="str">
        <x:v>Corporate</x:v>
      </x:c>
      <x:c r="D47" t="str">
        <x:v>Paid Search</x:v>
      </x:c>
      <x:c r="E47" t="str">
        <x:v>2025-12-20</x:v>
      </x:c>
      <x:c r="F47" t="n">
        <x:v>12</x:v>
      </x:c>
      <x:c r="G47" t="n">
        <x:v>17</x:v>
      </x:c>
      <x:c r="H47" s="1" t="n">
        <x:v>10978.75</x:v>
      </x:c>
      <x:c r="I47" t="n">
        <x:v>5</x:v>
      </x:c>
      <x:c r="J47" t="n">
        <x:v>5</x:v>
      </x:c>
      <x:c r="K47" t="n">
        <x:v>5</x:v>
      </x:c>
      <x:c r="L47" t="str">
        <x:v>Champions</x:v>
      </x:c>
    </x:row>
    <x:row r="48">
      <x:c r="A48" t="str">
        <x:v>C0637</x:v>
      </x:c>
      <x:c r="B48" t="str">
        <x:v>Elijah Patel</x:v>
      </x:c>
      <x:c r="C48" t="str">
        <x:v>Consumer</x:v>
      </x:c>
      <x:c r="D48" t="str">
        <x:v>Paid Search</x:v>
      </x:c>
      <x:c r="E48" t="str">
        <x:v>2025-12-30</x:v>
      </x:c>
      <x:c r="F48" t="n">
        <x:v>2</x:v>
      </x:c>
      <x:c r="G48" t="n">
        <x:v>25</x:v>
      </x:c>
      <x:c r="H48" s="1" t="n">
        <x:v>10946</x:v>
      </x:c>
      <x:c r="I48" t="n">
        <x:v>5</x:v>
      </x:c>
      <x:c r="J48" t="n">
        <x:v>5</x:v>
      </x:c>
      <x:c r="K48" t="n">
        <x:v>5</x:v>
      </x:c>
      <x:c r="L48" t="str">
        <x:v>Champions</x:v>
      </x:c>
    </x:row>
    <x:row r="49">
      <x:c r="A49" t="str">
        <x:v>C0473</x:v>
      </x:c>
      <x:c r="B49" t="str">
        <x:v>Aria Moore</x:v>
      </x:c>
      <x:c r="C49" t="str">
        <x:v>Small Business</x:v>
      </x:c>
      <x:c r="D49" t="str">
        <x:v>Marketplace</x:v>
      </x:c>
      <x:c r="E49" t="str">
        <x:v>2025-09-17</x:v>
      </x:c>
      <x:c r="F49" t="n">
        <x:v>106</x:v>
      </x:c>
      <x:c r="G49" t="n">
        <x:v>34</x:v>
      </x:c>
      <x:c r="H49" s="1" t="n">
        <x:v>10864.53</x:v>
      </x:c>
      <x:c r="I49" t="n">
        <x:v>3</x:v>
      </x:c>
      <x:c r="J49" t="n">
        <x:v>5</x:v>
      </x:c>
      <x:c r="K49" t="n">
        <x:v>5</x:v>
      </x:c>
      <x:c r="L49" t="str">
        <x:v>Potential Loyalist</x:v>
      </x:c>
    </x:row>
    <x:row r="50">
      <x:c r="A50" t="str">
        <x:v>C0316</x:v>
      </x:c>
      <x:c r="B50" t="str">
        <x:v>Layla Harris</x:v>
      </x:c>
      <x:c r="C50" t="str">
        <x:v>Consumer</x:v>
      </x:c>
      <x:c r="D50" t="str">
        <x:v>Paid Search</x:v>
      </x:c>
      <x:c r="E50" t="str">
        <x:v>2025-12-22</x:v>
      </x:c>
      <x:c r="F50" t="n">
        <x:v>10</x:v>
      </x:c>
      <x:c r="G50" t="n">
        <x:v>15</x:v>
      </x:c>
      <x:c r="H50" s="1" t="n">
        <x:v>10805.13</x:v>
      </x:c>
      <x:c r="I50" t="n">
        <x:v>5</x:v>
      </x:c>
      <x:c r="J50" t="n">
        <x:v>5</x:v>
      </x:c>
      <x:c r="K50" t="n">
        <x:v>5</x:v>
      </x:c>
      <x:c r="L50" t="str">
        <x:v>Champions</x:v>
      </x:c>
    </x:row>
    <x:row r="51">
      <x:c r="A51" t="str">
        <x:v>C0701</x:v>
      </x:c>
      <x:c r="B51" t="str">
        <x:v>Maya Taylor</x:v>
      </x:c>
      <x:c r="C51" t="str">
        <x:v>Small Business</x:v>
      </x:c>
      <x:c r="D51" t="str">
        <x:v>Organic Search</x:v>
      </x:c>
      <x:c r="E51" t="str">
        <x:v>2025-12-01</x:v>
      </x:c>
      <x:c r="F51" t="n">
        <x:v>31</x:v>
      </x:c>
      <x:c r="G51" t="n">
        <x:v>25</x:v>
      </x:c>
      <x:c r="H51" s="1" t="n">
        <x:v>10719.15</x:v>
      </x:c>
      <x:c r="I51" t="n">
        <x:v>4</x:v>
      </x:c>
      <x:c r="J51" t="n">
        <x:v>5</x:v>
      </x:c>
      <x:c r="K51" t="n">
        <x:v>5</x:v>
      </x:c>
      <x:c r="L51" t="str">
        <x:v>Champions</x:v>
      </x:c>
    </x:row>
    <x:row r="52">
      <x:c r="A52" t="str">
        <x:v>C0212</x:v>
      </x:c>
      <x:c r="B52" t="str">
        <x:v>Mason Singh</x:v>
      </x:c>
      <x:c r="C52" t="str">
        <x:v>Consumer</x:v>
      </x:c>
      <x:c r="D52" t="str">
        <x:v>Paid Search</x:v>
      </x:c>
      <x:c r="E52" t="str">
        <x:v>2025-12-27</x:v>
      </x:c>
      <x:c r="F52" t="n">
        <x:v>5</x:v>
      </x:c>
      <x:c r="G52" t="n">
        <x:v>17</x:v>
      </x:c>
      <x:c r="H52" s="1" t="n">
        <x:v>10702.79</x:v>
      </x:c>
      <x:c r="I52" t="n">
        <x:v>5</x:v>
      </x:c>
      <x:c r="J52" t="n">
        <x:v>5</x:v>
      </x:c>
      <x:c r="K52" t="n">
        <x:v>5</x:v>
      </x:c>
      <x:c r="L52" t="str">
        <x:v>Champions</x:v>
      </x:c>
    </x:row>
    <x:row r="53">
      <x:c r="A53" t="str">
        <x:v>C0520</x:v>
      </x:c>
      <x:c r="B53" t="str">
        <x:v>Nora Brown</x:v>
      </x:c>
      <x:c r="C53" t="str">
        <x:v>Corporate</x:v>
      </x:c>
      <x:c r="D53" t="str">
        <x:v>Referral</x:v>
      </x:c>
      <x:c r="E53" t="str">
        <x:v>2025-10-19</x:v>
      </x:c>
      <x:c r="F53" t="n">
        <x:v>74</x:v>
      </x:c>
      <x:c r="G53" t="n">
        <x:v>16</x:v>
      </x:c>
      <x:c r="H53" s="1" t="n">
        <x:v>10664.69</x:v>
      </x:c>
      <x:c r="I53" t="n">
        <x:v>3</x:v>
      </x:c>
      <x:c r="J53" t="n">
        <x:v>5</x:v>
      </x:c>
      <x:c r="K53" t="n">
        <x:v>5</x:v>
      </x:c>
      <x:c r="L53" t="str">
        <x:v>Potential Loyalist</x:v>
      </x:c>
    </x:row>
    <x:row r="54">
      <x:c r="A54" t="str">
        <x:v>C0527</x:v>
      </x:c>
      <x:c r="B54" t="str">
        <x:v>Ava Jackson</x:v>
      </x:c>
      <x:c r="C54" t="str">
        <x:v>Consumer</x:v>
      </x:c>
      <x:c r="D54" t="str">
        <x:v>Referral</x:v>
      </x:c>
      <x:c r="E54" t="str">
        <x:v>2025-10-23</x:v>
      </x:c>
      <x:c r="F54" t="n">
        <x:v>70</x:v>
      </x:c>
      <x:c r="G54" t="n">
        <x:v>24</x:v>
      </x:c>
      <x:c r="H54" s="1" t="n">
        <x:v>10660.92</x:v>
      </x:c>
      <x:c r="I54" t="n">
        <x:v>3</x:v>
      </x:c>
      <x:c r="J54" t="n">
        <x:v>5</x:v>
      </x:c>
      <x:c r="K54" t="n">
        <x:v>5</x:v>
      </x:c>
      <x:c r="L54" t="str">
        <x:v>Potential Loyalist</x:v>
      </x:c>
    </x:row>
    <x:row r="55">
      <x:c r="A55" t="str">
        <x:v>C0625</x:v>
      </x:c>
      <x:c r="B55" t="str">
        <x:v>Olivia Brown</x:v>
      </x:c>
      <x:c r="C55" t="str">
        <x:v>Consumer</x:v>
      </x:c>
      <x:c r="D55" t="str">
        <x:v>Social</x:v>
      </x:c>
      <x:c r="E55" t="str">
        <x:v>2025-11-04</x:v>
      </x:c>
      <x:c r="F55" t="n">
        <x:v>58</x:v>
      </x:c>
      <x:c r="G55" t="n">
        <x:v>17</x:v>
      </x:c>
      <x:c r="H55" s="1" t="n">
        <x:v>10658.09</x:v>
      </x:c>
      <x:c r="I55" t="n">
        <x:v>4</x:v>
      </x:c>
      <x:c r="J55" t="n">
        <x:v>5</x:v>
      </x:c>
      <x:c r="K55" t="n">
        <x:v>5</x:v>
      </x:c>
      <x:c r="L55" t="str">
        <x:v>Champions</x:v>
      </x:c>
    </x:row>
    <x:row r="56">
      <x:c r="A56" t="str">
        <x:v>C0148</x:v>
      </x:c>
      <x:c r="B56" t="str">
        <x:v>Lucas Clark</x:v>
      </x:c>
      <x:c r="C56" t="str">
        <x:v>Small Business</x:v>
      </x:c>
      <x:c r="D56" t="str">
        <x:v>Organic Search</x:v>
      </x:c>
      <x:c r="E56" t="str">
        <x:v>2025-11-13</x:v>
      </x:c>
      <x:c r="F56" t="n">
        <x:v>49</x:v>
      </x:c>
      <x:c r="G56" t="n">
        <x:v>23</x:v>
      </x:c>
      <x:c r="H56" s="1" t="n">
        <x:v>10624.68</x:v>
      </x:c>
      <x:c r="I56" t="n">
        <x:v>4</x:v>
      </x:c>
      <x:c r="J56" t="n">
        <x:v>5</x:v>
      </x:c>
      <x:c r="K56" t="n">
        <x:v>5</x:v>
      </x:c>
      <x:c r="L56" t="str">
        <x:v>Champions</x:v>
      </x:c>
    </x:row>
    <x:row r="57">
      <x:c r="A57" t="str">
        <x:v>C0536</x:v>
      </x:c>
      <x:c r="B57" t="str">
        <x:v>Sophia Lee</x:v>
      </x:c>
      <x:c r="C57" t="str">
        <x:v>Corporate</x:v>
      </x:c>
      <x:c r="D57" t="str">
        <x:v>Organic Search</x:v>
      </x:c>
      <x:c r="E57" t="str">
        <x:v>2025-09-20</x:v>
      </x:c>
      <x:c r="F57" t="n">
        <x:v>103</x:v>
      </x:c>
      <x:c r="G57" t="n">
        <x:v>25</x:v>
      </x:c>
      <x:c r="H57" s="1" t="n">
        <x:v>10620.17</x:v>
      </x:c>
      <x:c r="I57" t="n">
        <x:v>3</x:v>
      </x:c>
      <x:c r="J57" t="n">
        <x:v>5</x:v>
      </x:c>
      <x:c r="K57" t="n">
        <x:v>5</x:v>
      </x:c>
      <x:c r="L57" t="str">
        <x:v>Potential Loyalist</x:v>
      </x:c>
    </x:row>
    <x:row r="58">
      <x:c r="A58" t="str">
        <x:v>C0687</x:v>
      </x:c>
      <x:c r="B58" t="str">
        <x:v>Mason White</x:v>
      </x:c>
      <x:c r="C58" t="str">
        <x:v>Consumer</x:v>
      </x:c>
      <x:c r="D58" t="str">
        <x:v>Organic Search</x:v>
      </x:c>
      <x:c r="E58" t="str">
        <x:v>2025-12-18</x:v>
      </x:c>
      <x:c r="F58" t="n">
        <x:v>14</x:v>
      </x:c>
      <x:c r="G58" t="n">
        <x:v>26</x:v>
      </x:c>
      <x:c r="H58" s="1" t="n">
        <x:v>10507.97</x:v>
      </x:c>
      <x:c r="I58" t="n">
        <x:v>5</x:v>
      </x:c>
      <x:c r="J58" t="n">
        <x:v>5</x:v>
      </x:c>
      <x:c r="K58" t="n">
        <x:v>5</x:v>
      </x:c>
      <x:c r="L58" t="str">
        <x:v>Champions</x:v>
      </x:c>
    </x:row>
    <x:row r="59">
      <x:c r="A59" t="str">
        <x:v>C0571</x:v>
      </x:c>
      <x:c r="B59" t="str">
        <x:v>Nora Johnson</x:v>
      </x:c>
      <x:c r="C59" t="str">
        <x:v>Small Business</x:v>
      </x:c>
      <x:c r="D59" t="str">
        <x:v>Email</x:v>
      </x:c>
      <x:c r="E59" t="str">
        <x:v>2025-12-01</x:v>
      </x:c>
      <x:c r="F59" t="n">
        <x:v>31</x:v>
      </x:c>
      <x:c r="G59" t="n">
        <x:v>21</x:v>
      </x:c>
      <x:c r="H59" s="1" t="n">
        <x:v>10357.26</x:v>
      </x:c>
      <x:c r="I59" t="n">
        <x:v>4</x:v>
      </x:c>
      <x:c r="J59" t="n">
        <x:v>5</x:v>
      </x:c>
      <x:c r="K59" t="n">
        <x:v>5</x:v>
      </x:c>
      <x:c r="L59" t="str">
        <x:v>Champions</x:v>
      </x:c>
    </x:row>
    <x:row r="60">
      <x:c r="A60" t="str">
        <x:v>C0431</x:v>
      </x:c>
      <x:c r="B60" t="str">
        <x:v>Maya Lewis</x:v>
      </x:c>
      <x:c r="C60" t="str">
        <x:v>Consumer</x:v>
      </x:c>
      <x:c r="D60" t="str">
        <x:v>Social</x:v>
      </x:c>
      <x:c r="E60" t="str">
        <x:v>2025-11-11</x:v>
      </x:c>
      <x:c r="F60" t="n">
        <x:v>51</x:v>
      </x:c>
      <x:c r="G60" t="n">
        <x:v>28</x:v>
      </x:c>
      <x:c r="H60" s="1" t="n">
        <x:v>10295.75</x:v>
      </x:c>
      <x:c r="I60" t="n">
        <x:v>4</x:v>
      </x:c>
      <x:c r="J60" t="n">
        <x:v>5</x:v>
      </x:c>
      <x:c r="K60" t="n">
        <x:v>5</x:v>
      </x:c>
      <x:c r="L60" t="str">
        <x:v>Champions</x:v>
      </x:c>
    </x:row>
    <x:row r="61">
      <x:c r="A61" t="str">
        <x:v>C0375</x:v>
      </x:c>
      <x:c r="B61" t="str">
        <x:v>Liam Jackson</x:v>
      </x:c>
      <x:c r="C61" t="str">
        <x:v>Consumer</x:v>
      </x:c>
      <x:c r="D61" t="str">
        <x:v>Organic Search</x:v>
      </x:c>
      <x:c r="E61" t="str">
        <x:v>2025-12-29</x:v>
      </x:c>
      <x:c r="F61" t="n">
        <x:v>3</x:v>
      </x:c>
      <x:c r="G61" t="n">
        <x:v>17</x:v>
      </x:c>
      <x:c r="H61" s="1" t="n">
        <x:v>10204.41</x:v>
      </x:c>
      <x:c r="I61" t="n">
        <x:v>5</x:v>
      </x:c>
      <x:c r="J61" t="n">
        <x:v>5</x:v>
      </x:c>
      <x:c r="K61" t="n">
        <x:v>5</x:v>
      </x:c>
      <x:c r="L61" t="str">
        <x:v>Champions</x:v>
      </x:c>
    </x:row>
  </x:sheetData>
  <x:pageMargins left="0.7" right="0.7" top="0.75" bottom="0.75" header="0.3" footer="0.3"/>
  <x:tableParts count="1">
    <x:tablePart xmlns:r="http://schemas.openxmlformats.org/officeDocument/2006/relationships" r:id="R84f692d0ddd243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1.130000114440918" hidden="0" customWidth="1"/>
    <x:col min="3" max="3" width="9.630000114440918" hidden="0" customWidth="1"/>
    <x:col min="4" max="4" width="9.630000114440918" hidden="0" customWidth="1"/>
    <x:col min="5" max="5" width="9.630000114440918" hidden="0" customWidth="1"/>
    <x:col min="6" max="6" width="9.630000114440918" hidden="0" customWidth="1"/>
    <x:col min="7" max="7" width="9.630000114440918" hidden="0" customWidth="1"/>
    <x:col min="8" max="8" width="10.5" hidden="0" customWidth="1"/>
  </x:cols>
  <x:sheetData>
    <x:row r="1">
      <x:c r="A1" t="str">
        <x:v>Cohort</x:v>
      </x:c>
      <x:c r="B1" t="str">
        <x:v>Customers</x:v>
      </x:c>
      <x:c r="C1" t="str">
        <x:v>Month 0</x:v>
      </x:c>
      <x:c r="D1" t="str">
        <x:v>Month 1</x:v>
      </x:c>
      <x:c r="E1" t="str">
        <x:v>Month 2</x:v>
      </x:c>
      <x:c r="F1" t="str">
        <x:v>Month 3</x:v>
      </x:c>
      <x:c r="G1" t="str">
        <x:v>Month 6</x:v>
      </x:c>
      <x:c r="H1" t="str">
        <x:v>Month 12</x:v>
      </x:c>
    </x:row>
    <x:row r="2">
      <x:c r="A2" t="str">
        <x:v>2024-01</x:v>
      </x:c>
      <x:c r="B2" t="n">
        <x:v>143</x:v>
      </x:c>
      <x:c r="C2" s="3" t="n">
        <x:v>1</x:v>
      </x:c>
      <x:c r="D2" s="3" t="n">
        <x:v>0.36363636363636365</x:v>
      </x:c>
      <x:c r="E2" s="3" t="n">
        <x:v>0.48951048951048953</x:v>
      </x:c>
      <x:c r="F2" s="3" t="n">
        <x:v>0.34965034965034963</x:v>
      </x:c>
      <x:c r="G2" s="3" t="n">
        <x:v>0.43356643356643354</x:v>
      </x:c>
      <x:c r="H2" s="3" t="n">
        <x:v>0.42657342657342656</x:v>
      </x:c>
    </x:row>
    <x:row r="3">
      <x:c r="A3" t="str">
        <x:v>2024-02</x:v>
      </x:c>
      <x:c r="B3" t="n">
        <x:v>87</x:v>
      </x:c>
      <x:c r="C3" s="3" t="n">
        <x:v>1</x:v>
      </x:c>
      <x:c r="D3" s="3" t="n">
        <x:v>0.26436781609195403</x:v>
      </x:c>
      <x:c r="E3" s="3" t="n">
        <x:v>0.26436781609195403</x:v>
      </x:c>
      <x:c r="F3" s="3" t="n">
        <x:v>0.3333333333333333</x:v>
      </x:c>
      <x:c r="G3" s="3" t="n">
        <x:v>0.3448275862068966</x:v>
      </x:c>
      <x:c r="H3" s="3" t="n">
        <x:v>0.26436781609195403</x:v>
      </x:c>
    </x:row>
    <x:row r="4">
      <x:c r="A4" t="str">
        <x:v>2024-03</x:v>
      </x:c>
      <x:c r="B4" t="n">
        <x:v>56</x:v>
      </x:c>
      <x:c r="C4" s="3" t="n">
        <x:v>1</x:v>
      </x:c>
      <x:c r="D4" s="3" t="n">
        <x:v>0.21428571428571427</x:v>
      </x:c>
      <x:c r="E4" s="3" t="n">
        <x:v>0.375</x:v>
      </x:c>
      <x:c r="F4" s="3" t="n">
        <x:v>0.32142857142857145</x:v>
      </x:c>
      <x:c r="G4" s="3" t="n">
        <x:v>0.2857142857142857</x:v>
      </x:c>
      <x:c r="H4" s="3" t="n">
        <x:v>0.3392857142857143</x:v>
      </x:c>
    </x:row>
    <x:row r="5">
      <x:c r="A5" t="str">
        <x:v>2024-04</x:v>
      </x:c>
      <x:c r="B5" t="n">
        <x:v>45</x:v>
      </x:c>
      <x:c r="C5" s="3" t="n">
        <x:v>1</x:v>
      </x:c>
      <x:c r="D5" s="3" t="n">
        <x:v>0.3333333333333333</x:v>
      </x:c>
      <x:c r="E5" s="3" t="n">
        <x:v>0.24444444444444444</x:v>
      </x:c>
      <x:c r="F5" s="3" t="n">
        <x:v>0.2</x:v>
      </x:c>
      <x:c r="G5" s="3" t="n">
        <x:v>0.2222222222222222</x:v>
      </x:c>
      <x:c r="H5" s="3" t="n">
        <x:v>0.24444444444444444</x:v>
      </x:c>
    </x:row>
    <x:row r="6">
      <x:c r="A6" t="str">
        <x:v>2024-05</x:v>
      </x:c>
      <x:c r="B6" t="n">
        <x:v>37</x:v>
      </x:c>
      <x:c r="C6" s="3" t="n">
        <x:v>1</x:v>
      </x:c>
      <x:c r="D6" s="3" t="n">
        <x:v>0.08108108108108109</x:v>
      </x:c>
      <x:c r="E6" s="3" t="n">
        <x:v>0.13513513513513514</x:v>
      </x:c>
      <x:c r="F6" s="3" t="n">
        <x:v>0.24324324324324326</x:v>
      </x:c>
      <x:c r="G6" s="3" t="n">
        <x:v>0.1891891891891892</x:v>
      </x:c>
      <x:c r="H6" s="3" t="n">
        <x:v>0.21621621621621623</x:v>
      </x:c>
    </x:row>
    <x:row r="7">
      <x:c r="A7" t="str">
        <x:v>2024-06</x:v>
      </x:c>
      <x:c r="B7" t="n">
        <x:v>20</x:v>
      </x:c>
      <x:c r="C7" s="3" t="n">
        <x:v>1</x:v>
      </x:c>
      <x:c r="D7" s="3" t="n">
        <x:v>0.2</x:v>
      </x:c>
      <x:c r="E7" s="3" t="n">
        <x:v>0.15</x:v>
      </x:c>
      <x:c r="F7" s="3" t="n">
        <x:v>0.2</x:v>
      </x:c>
      <x:c r="G7" s="3" t="n">
        <x:v>0.1</x:v>
      </x:c>
      <x:c r="H7" s="3" t="n">
        <x:v>0.15</x:v>
      </x:c>
    </x:row>
    <x:row r="8">
      <x:c r="A8" t="str">
        <x:v>2024-07</x:v>
      </x:c>
      <x:c r="B8" t="n">
        <x:v>20</x:v>
      </x:c>
      <x:c r="C8" s="3" t="n">
        <x:v>1</x:v>
      </x:c>
      <x:c r="D8" s="3" t="n">
        <x:v>0.35</x:v>
      </x:c>
      <x:c r="E8" s="3" t="n">
        <x:v>0.2</x:v>
      </x:c>
      <x:c r="F8" s="3" t="n">
        <x:v>0.2</x:v>
      </x:c>
      <x:c r="G8" s="3" t="n">
        <x:v>0.05</x:v>
      </x:c>
      <x:c r="H8" s="3" t="n">
        <x:v>0.15</x:v>
      </x:c>
    </x:row>
    <x:row r="9">
      <x:c r="A9" t="str">
        <x:v>2024-08</x:v>
      </x:c>
      <x:c r="B9" t="n">
        <x:v>18</x:v>
      </x:c>
      <x:c r="C9" s="3" t="n">
        <x:v>1</x:v>
      </x:c>
      <x:c r="D9" s="3" t="n">
        <x:v>0.1111111111111111</x:v>
      </x:c>
      <x:c r="E9" s="3" t="n">
        <x:v>0.2222222222222222</x:v>
      </x:c>
      <x:c r="F9" s="3" t="n">
        <x:v>0.3333333333333333</x:v>
      </x:c>
      <x:c r="G9" s="3" t="n">
        <x:v>0.16666666666666666</x:v>
      </x:c>
      <x:c r="H9" s="3" t="n">
        <x:v>0.2222222222222222</x:v>
      </x:c>
    </x:row>
    <x:row r="10">
      <x:c r="A10" t="str">
        <x:v>2024-09</x:v>
      </x:c>
      <x:c r="B10" t="n">
        <x:v>17</x:v>
      </x:c>
      <x:c r="C10" s="3" t="n">
        <x:v>1</x:v>
      </x:c>
      <x:c r="D10" s="3" t="n">
        <x:v>0</x:v>
      </x:c>
      <x:c r="E10" s="3" t="n">
        <x:v>0</x:v>
      </x:c>
      <x:c r="F10" s="3" t="n">
        <x:v>0.17647058823529413</x:v>
      </x:c>
      <x:c r="G10" s="3" t="n">
        <x:v>0.17647058823529413</x:v>
      </x:c>
      <x:c r="H10" s="3" t="n">
        <x:v>0.11764705882352941</x:v>
      </x:c>
    </x:row>
    <x:row r="11">
      <x:c r="A11" t="str">
        <x:v>2024-10</x:v>
      </x:c>
      <x:c r="B11" t="n">
        <x:v>10</x:v>
      </x:c>
      <x:c r="C11" s="3" t="n">
        <x:v>1</x:v>
      </x:c>
      <x:c r="D11" s="3" t="n">
        <x:v>0</x:v>
      </x:c>
      <x:c r="E11" s="3" t="n">
        <x:v>0.1</x:v>
      </x:c>
      <x:c r="F11" s="3" t="n">
        <x:v>0</x:v>
      </x:c>
      <x:c r="G11" s="3" t="n">
        <x:v>0.1</x:v>
      </x:c>
      <x:c r="H11" s="3" t="n">
        <x:v>0</x:v>
      </x:c>
    </x:row>
    <x:row r="12">
      <x:c r="A12" t="str">
        <x:v>2024-11</x:v>
      </x:c>
      <x:c r="B12" t="n">
        <x:v>15</x:v>
      </x:c>
      <x:c r="C12" s="3" t="n">
        <x:v>1</x:v>
      </x:c>
      <x:c r="D12" s="3" t="n">
        <x:v>0</x:v>
      </x:c>
      <x:c r="E12" s="3" t="n">
        <x:v>0.2</x:v>
      </x:c>
      <x:c r="F12" s="3" t="n">
        <x:v>0.13333333333333333</x:v>
      </x:c>
      <x:c r="G12" s="3" t="n">
        <x:v>0.13333333333333333</x:v>
      </x:c>
      <x:c r="H12" s="3" t="n">
        <x:v>0.06666666666666667</x:v>
      </x:c>
    </x:row>
    <x:row r="13">
      <x:c r="A13" t="str">
        <x:v>2024-12</x:v>
      </x:c>
      <x:c r="B13" t="n">
        <x:v>13</x:v>
      </x:c>
      <x:c r="C13" s="3" t="n">
        <x:v>1</x:v>
      </x:c>
      <x:c r="D13" s="3" t="n">
        <x:v>0</x:v>
      </x:c>
      <x:c r="E13" s="3" t="n">
        <x:v>0.07692307692307693</x:v>
      </x:c>
      <x:c r="F13" s="3" t="n">
        <x:v>0.23076923076923078</x:v>
      </x:c>
      <x:c r="G13" s="3" t="n">
        <x:v>0.07692307692307693</x:v>
      </x:c>
      <x:c r="H13" s="3" t="n">
        <x:v>0</x:v>
      </x:c>
    </x:row>
    <x:row r="14">
      <x:c r="A14" t="str">
        <x:v>2025-01</x:v>
      </x:c>
      <x:c r="B14" t="n">
        <x:v>15</x:v>
      </x:c>
      <x:c r="C14" s="3" t="n">
        <x:v>1</x:v>
      </x:c>
      <x:c r="D14" s="3" t="n">
        <x:v>0.06666666666666667</x:v>
      </x:c>
      <x:c r="E14" s="3" t="n">
        <x:v>0.3333333333333333</x:v>
      </x:c>
      <x:c r="F14" s="3" t="n">
        <x:v>0.06666666666666667</x:v>
      </x:c>
      <x:c r="G14" s="3" t="n">
        <x:v>0</x:v>
      </x:c>
      <x:c r="H14" s="3" t="n">
        <x:v>0</x:v>
      </x:c>
    </x:row>
    <x:row r="15">
      <x:c r="A15" t="str">
        <x:v>2025-02</x:v>
      </x:c>
      <x:c r="B15" t="n">
        <x:v>11</x:v>
      </x:c>
      <x:c r="C15" s="3" t="n">
        <x:v>1</x:v>
      </x:c>
      <x:c r="D15" s="3" t="n">
        <x:v>0.09090909090909091</x:v>
      </x:c>
      <x:c r="E15" s="3" t="n">
        <x:v>0</x:v>
      </x:c>
      <x:c r="F15" s="3" t="n">
        <x:v>0.2727272727272727</x:v>
      </x:c>
      <x:c r="G15" s="3" t="n">
        <x:v>0</x:v>
      </x:c>
      <x:c r="H15" s="3" t="n">
        <x:v>0</x:v>
      </x:c>
    </x:row>
    <x:row r="16">
      <x:c r="A16" t="str">
        <x:v>2025-03</x:v>
      </x:c>
      <x:c r="B16" t="n">
        <x:v>7</x:v>
      </x:c>
      <x:c r="C16" s="3" t="n">
        <x:v>1</x:v>
      </x:c>
      <x:c r="D16" s="3" t="n">
        <x:v>0</x:v>
      </x:c>
      <x:c r="E16" s="3" t="n">
        <x:v>0</x:v>
      </x:c>
      <x:c r="F16" s="3" t="n">
        <x:v>0.14285714285714285</x:v>
      </x:c>
      <x:c r="G16" s="3" t="n">
        <x:v>0.14285714285714285</x:v>
      </x:c>
      <x:c r="H16" s="3" t="n">
        <x:v>0</x:v>
      </x:c>
    </x:row>
    <x:row r="17">
      <x:c r="A17" t="str">
        <x:v>2025-04</x:v>
      </x:c>
      <x:c r="B17" t="n">
        <x:v>8</x:v>
      </x:c>
      <x:c r="C17" s="3" t="n">
        <x:v>1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</x:row>
    <x:row r="18">
      <x:c r="A18" t="str">
        <x:v>2025-05</x:v>
      </x:c>
      <x:c r="B18" t="n">
        <x:v>7</x:v>
      </x:c>
      <x:c r="C18" s="3" t="n">
        <x:v>1</x:v>
      </x:c>
      <x:c r="D18" s="3" t="n">
        <x:v>0</x:v>
      </x:c>
      <x:c r="E18" s="3" t="n">
        <x:v>0.14285714285714285</x:v>
      </x:c>
      <x:c r="F18" s="3" t="n">
        <x:v>0</x:v>
      </x:c>
      <x:c r="G18" s="3" t="n">
        <x:v>0.14285714285714285</x:v>
      </x:c>
      <x:c r="H18" s="3" t="n">
        <x:v>0</x:v>
      </x:c>
    </x:row>
    <x:row r="19">
      <x:c r="A19" t="str">
        <x:v>2025-06</x:v>
      </x:c>
      <x:c r="B19" t="n">
        <x:v>6</x:v>
      </x:c>
      <x:c r="C19" s="3" t="n">
        <x:v>1</x:v>
      </x:c>
      <x:c r="D19" s="3" t="n">
        <x:v>0</x:v>
      </x:c>
      <x:c r="E19" s="3" t="n">
        <x:v>0.16666666666666666</x:v>
      </x:c>
      <x:c r="F19" s="3" t="n">
        <x:v>0</x:v>
      </x:c>
      <x:c r="G19" s="3" t="n">
        <x:v>0</x:v>
      </x:c>
      <x:c r="H19" s="3" t="n">
        <x:v>0</x:v>
      </x:c>
    </x:row>
    <x:row r="20">
      <x:c r="A20" t="str">
        <x:v>2025-07</x:v>
      </x:c>
      <x:c r="B20" t="n">
        <x:v>4</x:v>
      </x:c>
      <x:c r="C20" s="3" t="n">
        <x:v>1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  <x:c r="H20" s="3" t="n">
        <x:v>0</x:v>
      </x:c>
    </x:row>
    <x:row r="21">
      <x:c r="A21" t="str">
        <x:v>2025-08</x:v>
      </x:c>
      <x:c r="B21" t="n">
        <x:v>4</x:v>
      </x:c>
      <x:c r="C21" s="3" t="n">
        <x:v>1</x:v>
      </x:c>
      <x:c r="D21" s="3" t="n">
        <x:v>0</x:v>
      </x:c>
      <x:c r="E21" s="3" t="n">
        <x:v>0</x:v>
      </x:c>
      <x:c r="F21" s="3" t="n">
        <x:v>0.25</x:v>
      </x:c>
      <x:c r="G21" s="3" t="n">
        <x:v>0</x:v>
      </x:c>
      <x:c r="H21" s="3" t="n">
        <x:v>0</x:v>
      </x:c>
    </x:row>
    <x:row r="22">
      <x:c r="A22" t="str">
        <x:v>2025-09</x:v>
      </x:c>
      <x:c r="B22" t="n">
        <x:v>8</x:v>
      </x:c>
      <x:c r="C22" s="3" t="n">
        <x:v>1</x:v>
      </x:c>
      <x:c r="D22" s="3" t="n">
        <x:v>0.25</x:v>
      </x:c>
      <x:c r="E22" s="3" t="n">
        <x:v>0.125</x:v>
      </x:c>
      <x:c r="F22" s="3" t="n">
        <x:v>0.125</x:v>
      </x:c>
      <x:c r="G22" s="3" t="n">
        <x:v>0</x:v>
      </x:c>
      <x:c r="H22" s="3" t="n">
        <x:v>0</x:v>
      </x:c>
    </x:row>
    <x:row r="23">
      <x:c r="A23" t="str">
        <x:v>2025-10</x:v>
      </x:c>
      <x:c r="B23" t="n">
        <x:v>6</x:v>
      </x:c>
      <x:c r="C23" s="3" t="n">
        <x:v>1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</x:row>
    <x:row r="24">
      <x:c r="A24" t="str">
        <x:v>2025-11</x:v>
      </x:c>
      <x:c r="B24" t="n">
        <x:v>7</x:v>
      </x:c>
      <x:c r="C24" s="3" t="n">
        <x:v>1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</x:row>
    <x:row r="25">
      <x:c r="A25" t="str">
        <x:v>2025-12</x:v>
      </x:c>
      <x:c r="B25" t="n">
        <x:v>3</x:v>
      </x:c>
      <x:c r="C25" s="3" t="n">
        <x:v>1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</x:row>
  </x:sheetData>
  <x:conditionalFormatting sqref="C2:H25">
    <x:cfRule type="colorScale" priority="1">
      <x:colorScale>
        <x:cfvo type="min"/>
        <x:cfvo type="percentile" val="50"/>
        <x:cfvo type="max"/>
        <x:color rgb="FFF8FAFC"/>
        <x:color rgb="FF99F6E4"/>
        <x:color rgb="FF0F766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f10d1bedb1647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1.630000114440918" hidden="0" customWidth="1"/>
    <x:col min="3" max="3" width="12.880000114440918" hidden="0" customWidth="1"/>
    <x:col min="4" max="4" width="12" hidden="0" customWidth="1"/>
    <x:col min="5" max="5" width="17.3799991607666" hidden="0" customWidth="1"/>
    <x:col min="6" max="6" width="12.380000114440918" hidden="0" customWidth="1"/>
    <x:col min="7" max="7" width="16.8799991607666" hidden="0" customWidth="1"/>
    <x:col min="8" max="8" width="6.630000114440918" hidden="0" customWidth="1"/>
    <x:col min="9" max="9" width="15.75" hidden="0" customWidth="1"/>
    <x:col min="10" max="10" width="16" hidden="0" customWidth="1"/>
    <x:col min="11" max="11" width="12.130000114440918" hidden="0" customWidth="1"/>
    <x:col min="12" max="12" width="17.3799991607666" hidden="0" customWidth="1"/>
  </x:cols>
  <x:sheetData>
    <x:row r="1">
      <x:c r="A1" t="str">
        <x:v>Month</x:v>
      </x:c>
      <x:c r="B1" t="str">
        <x:v>Gross Sales</x:v>
      </x:c>
      <x:c r="C1" t="str">
        <x:v>Net Revenue</x:v>
      </x:c>
      <x:c r="D1" t="str">
        <x:v>Gross Profit</x:v>
      </x:c>
      <x:c r="E1" t="str">
        <x:v>Contribution Profit</x:v>
      </x:c>
      <x:c r="F1" t="str">
        <x:v>Total Orders</x:v>
      </x:c>
      <x:c r="G1" t="str">
        <x:v>Completed Orders</x:v>
      </x:c>
      <x:c r="H1" t="str">
        <x:v>AOV</x:v>
      </x:c>
      <x:c r="I1" t="str">
        <x:v>Returned Orders</x:v>
      </x:c>
      <x:c r="J1" t="str">
        <x:v>Cancelled Orders</x:v>
      </x:c>
      <x:c r="K1" t="str">
        <x:v>Return Rate</x:v>
      </x:c>
      <x:c r="L1" t="str">
        <x:v>MoM Net Revenue</x:v>
      </x:c>
    </x:row>
    <x:row r="2">
      <x:c r="A2" t="str">
        <x:v>2024-01</x:v>
      </x:c>
      <x:c r="B2" s="1" t="n">
        <x:v>112059.24</x:v>
      </x:c>
      <x:c r="C2" s="1" t="n">
        <x:v>95583.31</x:v>
      </x:c>
      <x:c r="D2" s="1" t="n">
        <x:v>30453.54</x:v>
      </x:c>
      <x:c r="E2" s="1" t="n">
        <x:v>27178.97</x:v>
      </x:c>
      <x:c r="F2" s="2" t="n">
        <x:v>215</x:v>
      </x:c>
      <x:c r="G2" s="2" t="n">
        <x:v>198</x:v>
      </x:c>
      <x:c r="H2" s="1" t="n">
        <x:v>482.74</x:v>
      </x:c>
      <x:c r="I2" s="2" t="n">
        <x:v>12</x:v>
      </x:c>
      <x:c r="J2" s="2" t="n">
        <x:v>5</x:v>
      </x:c>
      <x:c r="K2" s="3" t="n">
        <x:v>0.05581395348837209</x:v>
      </x:c>
      <x:c r="L2" s="3"/>
    </x:row>
    <x:row r="3">
      <x:c r="A3" t="str">
        <x:v>2024-02</x:v>
      </x:c>
      <x:c r="B3" s="1" t="n">
        <x:v>108296.42</x:v>
      </x:c>
      <x:c r="C3" s="1" t="n">
        <x:v>94039.99</x:v>
      </x:c>
      <x:c r="D3" s="1" t="n">
        <x:v>30982.13</x:v>
      </x:c>
      <x:c r="E3" s="1" t="n">
        <x:v>28177.28</x:v>
      </x:c>
      <x:c r="F3" s="2" t="n">
        <x:v>196</x:v>
      </x:c>
      <x:c r="G3" s="2" t="n">
        <x:v>182</x:v>
      </x:c>
      <x:c r="H3" s="1" t="n">
        <x:v>516.7</x:v>
      </x:c>
      <x:c r="I3" s="2" t="n">
        <x:v>10</x:v>
      </x:c>
      <x:c r="J3" s="2" t="n">
        <x:v>4</x:v>
      </x:c>
      <x:c r="K3" s="3" t="n">
        <x:v>0.05102040816326531</x:v>
      </x:c>
      <x:c r="L3" s="3" t="n">
        <x:v>-0.01614636977634709</x:v>
      </x:c>
    </x:row>
    <x:row r="4">
      <x:c r="A4" t="str">
        <x:v>2024-03</x:v>
      </x:c>
      <x:c r="B4" s="1" t="n">
        <x:v>112571.79</x:v>
      </x:c>
      <x:c r="C4" s="1" t="n">
        <x:v>91374.76</x:v>
      </x:c>
      <x:c r="D4" s="1" t="n">
        <x:v>30065.24</x:v>
      </x:c>
      <x:c r="E4" s="1" t="n">
        <x:v>26150.12</x:v>
      </x:c>
      <x:c r="F4" s="2" t="n">
        <x:v>227</x:v>
      </x:c>
      <x:c r="G4" s="2" t="n">
        <x:v>201</x:v>
      </x:c>
      <x:c r="H4" s="1" t="n">
        <x:v>454.6</x:v>
      </x:c>
      <x:c r="I4" s="2" t="n">
        <x:v>21</x:v>
      </x:c>
      <x:c r="J4" s="2" t="n">
        <x:v>5</x:v>
      </x:c>
      <x:c r="K4" s="3" t="n">
        <x:v>0.09251101321585903</x:v>
      </x:c>
      <x:c r="L4" s="3" t="n">
        <x:v>-0.028341390109804965</x:v>
      </x:c>
    </x:row>
    <x:row r="5">
      <x:c r="A5" t="str">
        <x:v>2024-04</x:v>
      </x:c>
      <x:c r="B5" s="1" t="n">
        <x:v>96674.62</x:v>
      </x:c>
      <x:c r="C5" s="1" t="n">
        <x:v>81276.34</x:v>
      </x:c>
      <x:c r="D5" s="1" t="n">
        <x:v>25677.06</x:v>
      </x:c>
      <x:c r="E5" s="1" t="n">
        <x:v>22848.46</x:v>
      </x:c>
      <x:c r="F5" s="2" t="n">
        <x:v>184</x:v>
      </x:c>
      <x:c r="G5" s="2" t="n">
        <x:v>168</x:v>
      </x:c>
      <x:c r="H5" s="1" t="n">
        <x:v>483.79</x:v>
      </x:c>
      <x:c r="I5" s="2" t="n">
        <x:v>12</x:v>
      </x:c>
      <x:c r="J5" s="2" t="n">
        <x:v>4</x:v>
      </x:c>
      <x:c r="K5" s="3" t="n">
        <x:v>0.06521739130434782</x:v>
      </x:c>
      <x:c r="L5" s="3" t="n">
        <x:v>-0.11051652012739244</x:v>
      </x:c>
    </x:row>
    <x:row r="6">
      <x:c r="A6" t="str">
        <x:v>2024-05</x:v>
      </x:c>
      <x:c r="B6" s="1" t="n">
        <x:v>126128.85</x:v>
      </x:c>
      <x:c r="C6" s="1" t="n">
        <x:v>103986.77</x:v>
      </x:c>
      <x:c r="D6" s="1" t="n">
        <x:v>32825.48</x:v>
      </x:c>
      <x:c r="E6" s="1" t="n">
        <x:v>28648.43</x:v>
      </x:c>
      <x:c r="F6" s="2" t="n">
        <x:v>239</x:v>
      </x:c>
      <x:c r="G6" s="2" t="n">
        <x:v>221</x:v>
      </x:c>
      <x:c r="H6" s="1" t="n">
        <x:v>470.53</x:v>
      </x:c>
      <x:c r="I6" s="2" t="n">
        <x:v>13</x:v>
      </x:c>
      <x:c r="J6" s="2" t="n">
        <x:v>5</x:v>
      </x:c>
      <x:c r="K6" s="3" t="n">
        <x:v>0.05439330543933055</x:v>
      </x:c>
      <x:c r="L6" s="3" t="n">
        <x:v>0.2794223266207849</x:v>
      </x:c>
    </x:row>
    <x:row r="7">
      <x:c r="A7" t="str">
        <x:v>2024-06</x:v>
      </x:c>
      <x:c r="B7" s="1" t="n">
        <x:v>106409.13</x:v>
      </x:c>
      <x:c r="C7" s="1" t="n">
        <x:v>90136.92</x:v>
      </x:c>
      <x:c r="D7" s="1" t="n">
        <x:v>28955.16</x:v>
      </x:c>
      <x:c r="E7" s="1" t="n">
        <x:v>25745.42</x:v>
      </x:c>
      <x:c r="F7" s="2" t="n">
        <x:v>201</x:v>
      </x:c>
      <x:c r="G7" s="2" t="n">
        <x:v>182</x:v>
      </x:c>
      <x:c r="H7" s="1" t="n">
        <x:v>495.26</x:v>
      </x:c>
      <x:c r="I7" s="2" t="n">
        <x:v>15</x:v>
      </x:c>
      <x:c r="J7" s="2" t="n">
        <x:v>4</x:v>
      </x:c>
      <x:c r="K7" s="3" t="n">
        <x:v>0.07462686567164178</x:v>
      </x:c>
      <x:c r="L7" s="3" t="n">
        <x:v>-0.13318857004389018</x:v>
      </x:c>
    </x:row>
    <x:row r="8">
      <x:c r="A8" t="str">
        <x:v>2024-07</x:v>
      </x:c>
      <x:c r="B8" s="1" t="n">
        <x:v>102740.99</x:v>
      </x:c>
      <x:c r="C8" s="1" t="n">
        <x:v>82941.1</x:v>
      </x:c>
      <x:c r="D8" s="1" t="n">
        <x:v>27090.88</x:v>
      </x:c>
      <x:c r="E8" s="1" t="n">
        <x:v>24044.32</x:v>
      </x:c>
      <x:c r="F8" s="2" t="n">
        <x:v>193</x:v>
      </x:c>
      <x:c r="G8" s="2" t="n">
        <x:v>172</x:v>
      </x:c>
      <x:c r="H8" s="1" t="n">
        <x:v>482.22</x:v>
      </x:c>
      <x:c r="I8" s="2" t="n">
        <x:v>12</x:v>
      </x:c>
      <x:c r="J8" s="2" t="n">
        <x:v>9</x:v>
      </x:c>
      <x:c r="K8" s="3" t="n">
        <x:v>0.06217616580310881</x:v>
      </x:c>
      <x:c r="L8" s="3" t="n">
        <x:v>-0.07983209920991441</x:v>
      </x:c>
    </x:row>
    <x:row r="9">
      <x:c r="A9" t="str">
        <x:v>2024-08</x:v>
      </x:c>
      <x:c r="B9" s="1" t="n">
        <x:v>113537.84</x:v>
      </x:c>
      <x:c r="C9" s="1" t="n">
        <x:v>95051.06</x:v>
      </x:c>
      <x:c r="D9" s="1" t="n">
        <x:v>31519</x:v>
      </x:c>
      <x:c r="E9" s="1" t="n">
        <x:v>27859.35</x:v>
      </x:c>
      <x:c r="F9" s="2" t="n">
        <x:v>231</x:v>
      </x:c>
      <x:c r="G9" s="2" t="n">
        <x:v>205</x:v>
      </x:c>
      <x:c r="H9" s="1" t="n">
        <x:v>463.66</x:v>
      </x:c>
      <x:c r="I9" s="2" t="n">
        <x:v>16</x:v>
      </x:c>
      <x:c r="J9" s="2" t="n">
        <x:v>10</x:v>
      </x:c>
      <x:c r="K9" s="3" t="n">
        <x:v>0.06926406926406926</x:v>
      </x:c>
      <x:c r="L9" s="3" t="n">
        <x:v>0.14600678071547324</x:v>
      </x:c>
    </x:row>
    <x:row r="10">
      <x:c r="A10" t="str">
        <x:v>2024-09</x:v>
      </x:c>
      <x:c r="B10" s="1" t="n">
        <x:v>105524.42</x:v>
      </x:c>
      <x:c r="C10" s="1" t="n">
        <x:v>88959.54</x:v>
      </x:c>
      <x:c r="D10" s="1" t="n">
        <x:v>28959.46</x:v>
      </x:c>
      <x:c r="E10" s="1" t="n">
        <x:v>25617.19</x:v>
      </x:c>
      <x:c r="F10" s="2" t="n">
        <x:v>205</x:v>
      </x:c>
      <x:c r="G10" s="2" t="n">
        <x:v>189</x:v>
      </x:c>
      <x:c r="H10" s="1" t="n">
        <x:v>470.69</x:v>
      </x:c>
      <x:c r="I10" s="2" t="n">
        <x:v>13</x:v>
      </x:c>
      <x:c r="J10" s="2" t="n">
        <x:v>3</x:v>
      </x:c>
      <x:c r="K10" s="3" t="n">
        <x:v>0.06341463414634146</x:v>
      </x:c>
      <x:c r="L10" s="3" t="n">
        <x:v>-0.06408689506186849</x:v>
      </x:c>
    </x:row>
    <x:row r="11">
      <x:c r="A11" t="str">
        <x:v>2024-10</x:v>
      </x:c>
      <x:c r="B11" s="1" t="n">
        <x:v>119589.85</x:v>
      </x:c>
      <x:c r="C11" s="1" t="n">
        <x:v>100870.33</x:v>
      </x:c>
      <x:c r="D11" s="1" t="n">
        <x:v>32922.09</x:v>
      </x:c>
      <x:c r="E11" s="1" t="n">
        <x:v>29662.93</x:v>
      </x:c>
      <x:c r="F11" s="2" t="n">
        <x:v>216</x:v>
      </x:c>
      <x:c r="G11" s="2" t="n">
        <x:v>193</x:v>
      </x:c>
      <x:c r="H11" s="1" t="n">
        <x:v>522.64</x:v>
      </x:c>
      <x:c r="I11" s="2" t="n">
        <x:v>15</x:v>
      </x:c>
      <x:c r="J11" s="2" t="n">
        <x:v>8</x:v>
      </x:c>
      <x:c r="K11" s="3" t="n">
        <x:v>0.06944444444444445</x:v>
      </x:c>
      <x:c r="L11" s="3" t="n">
        <x:v>0.133890042625054</x:v>
      </x:c>
    </x:row>
    <x:row r="12">
      <x:c r="A12" t="str">
        <x:v>2024-11</x:v>
      </x:c>
      <x:c r="B12" s="1" t="n">
        <x:v>108755.43</x:v>
      </x:c>
      <x:c r="C12" s="1" t="n">
        <x:v>88987.32</x:v>
      </x:c>
      <x:c r="D12" s="1" t="n">
        <x:v>28423.91</x:v>
      </x:c>
      <x:c r="E12" s="1" t="n">
        <x:v>24752.66</x:v>
      </x:c>
      <x:c r="F12" s="2" t="n">
        <x:v>229</x:v>
      </x:c>
      <x:c r="G12" s="2" t="n">
        <x:v>203</x:v>
      </x:c>
      <x:c r="H12" s="1" t="n">
        <x:v>438.36</x:v>
      </x:c>
      <x:c r="I12" s="2" t="n">
        <x:v>14</x:v>
      </x:c>
      <x:c r="J12" s="2" t="n">
        <x:v>12</x:v>
      </x:c>
      <x:c r="K12" s="3" t="n">
        <x:v>0.0611353711790393</x:v>
      </x:c>
      <x:c r="L12" s="3" t="n">
        <x:v>-0.11780483739165681</x:v>
      </x:c>
    </x:row>
    <x:row r="13">
      <x:c r="A13" t="str">
        <x:v>2024-12</x:v>
      </x:c>
      <x:c r="B13" s="1" t="n">
        <x:v>124078.13</x:v>
      </x:c>
      <x:c r="C13" s="1" t="n">
        <x:v>95248.69</x:v>
      </x:c>
      <x:c r="D13" s="1" t="n">
        <x:v>29793.79</x:v>
      </x:c>
      <x:c r="E13" s="1" t="n">
        <x:v>25622.29</x:v>
      </x:c>
      <x:c r="F13" s="2" t="n">
        <x:v>226</x:v>
      </x:c>
      <x:c r="G13" s="2" t="n">
        <x:v>199</x:v>
      </x:c>
      <x:c r="H13" s="1" t="n">
        <x:v>478.64</x:v>
      </x:c>
      <x:c r="I13" s="2" t="n">
        <x:v>19</x:v>
      </x:c>
      <x:c r="J13" s="2" t="n">
        <x:v>8</x:v>
      </x:c>
      <x:c r="K13" s="3" t="n">
        <x:v>0.084070796460177</x:v>
      </x:c>
      <x:c r="L13" s="3" t="n">
        <x:v>0.07036252025056822</x:v>
      </x:c>
    </x:row>
    <x:row r="14">
      <x:c r="A14" t="str">
        <x:v>2025-01</x:v>
      </x:c>
      <x:c r="B14" s="1" t="n">
        <x:v>108929.46</x:v>
      </x:c>
      <x:c r="C14" s="1" t="n">
        <x:v>87739.81</x:v>
      </x:c>
      <x:c r="D14" s="1" t="n">
        <x:v>27977.7</x:v>
      </x:c>
      <x:c r="E14" s="1" t="n">
        <x:v>24150.63</x:v>
      </x:c>
      <x:c r="F14" s="2" t="n">
        <x:v>217</x:v>
      </x:c>
      <x:c r="G14" s="2" t="n">
        <x:v>193</x:v>
      </x:c>
      <x:c r="H14" s="1" t="n">
        <x:v>454.61</x:v>
      </x:c>
      <x:c r="I14" s="2" t="n">
        <x:v>17</x:v>
      </x:c>
      <x:c r="J14" s="2" t="n">
        <x:v>7</x:v>
      </x:c>
      <x:c r="K14" s="3" t="n">
        <x:v>0.07834101382488479</x:v>
      </x:c>
      <x:c r="L14" s="3" t="n">
        <x:v>-0.0788344486478787</x:v>
      </x:c>
    </x:row>
    <x:row r="15">
      <x:c r="A15" t="str">
        <x:v>2025-02</x:v>
      </x:c>
      <x:c r="B15" s="1" t="n">
        <x:v>107104.98</x:v>
      </x:c>
      <x:c r="C15" s="1" t="n">
        <x:v>88837.48</x:v>
      </x:c>
      <x:c r="D15" s="1" t="n">
        <x:v>29204.52</x:v>
      </x:c>
      <x:c r="E15" s="1" t="n">
        <x:v>25662.61</x:v>
      </x:c>
      <x:c r="F15" s="2" t="n">
        <x:v>206</x:v>
      </x:c>
      <x:c r="G15" s="2" t="n">
        <x:v>187</x:v>
      </x:c>
      <x:c r="H15" s="1" t="n">
        <x:v>475.07</x:v>
      </x:c>
      <x:c r="I15" s="2" t="n">
        <x:v>15</x:v>
      </x:c>
      <x:c r="J15" s="2" t="n">
        <x:v>4</x:v>
      </x:c>
      <x:c r="K15" s="3" t="n">
        <x:v>0.07281553398058252</x:v>
      </x:c>
      <x:c r="L15" s="3" t="n">
        <x:v>0.012510472369654968</x:v>
      </x:c>
    </x:row>
    <x:row r="16">
      <x:c r="A16" t="str">
        <x:v>2025-03</x:v>
      </x:c>
      <x:c r="B16" s="1" t="n">
        <x:v>126943.19</x:v>
      </x:c>
      <x:c r="C16" s="1" t="n">
        <x:v>108310.9</x:v>
      </x:c>
      <x:c r="D16" s="1" t="n">
        <x:v>35174.89</x:v>
      </x:c>
      <x:c r="E16" s="1" t="n">
        <x:v>31511.22</x:v>
      </x:c>
      <x:c r="F16" s="2" t="n">
        <x:v>242</x:v>
      </x:c>
      <x:c r="G16" s="2" t="n">
        <x:v>220</x:v>
      </x:c>
      <x:c r="H16" s="1" t="n">
        <x:v>492.32</x:v>
      </x:c>
      <x:c r="I16" s="2" t="n">
        <x:v>12</x:v>
      </x:c>
      <x:c r="J16" s="2" t="n">
        <x:v>10</x:v>
      </x:c>
      <x:c r="K16" s="3" t="n">
        <x:v>0.049586776859504134</x:v>
      </x:c>
      <x:c r="L16" s="3" t="n">
        <x:v>0.21920278151972217</x:v>
      </x:c>
    </x:row>
    <x:row r="17">
      <x:c r="A17" t="str">
        <x:v>2025-04</x:v>
      </x:c>
      <x:c r="B17" s="1" t="n">
        <x:v>110608.99</x:v>
      </x:c>
      <x:c r="C17" s="1" t="n">
        <x:v>89055.76</x:v>
      </x:c>
      <x:c r="D17" s="1" t="n">
        <x:v>28513.34</x:v>
      </x:c>
      <x:c r="E17" s="1" t="n">
        <x:v>24704.82</x:v>
      </x:c>
      <x:c r="F17" s="2" t="n">
        <x:v>216</x:v>
      </x:c>
      <x:c r="G17" s="2" t="n">
        <x:v>193</x:v>
      </x:c>
      <x:c r="H17" s="1" t="n">
        <x:v>461.43</x:v>
      </x:c>
      <x:c r="I17" s="2" t="n">
        <x:v>20</x:v>
      </x:c>
      <x:c r="J17" s="2" t="n">
        <x:v>3</x:v>
      </x:c>
      <x:c r="K17" s="3" t="n">
        <x:v>0.09259259259259259</x:v>
      </x:c>
      <x:c r="L17" s="3" t="n">
        <x:v>-0.17777658789036943</x:v>
      </x:c>
    </x:row>
    <x:row r="18">
      <x:c r="A18" t="str">
        <x:v>2025-05</x:v>
      </x:c>
      <x:c r="B18" s="1" t="n">
        <x:v>106872.91</x:v>
      </x:c>
      <x:c r="C18" s="1" t="n">
        <x:v>86319.19</x:v>
      </x:c>
      <x:c r="D18" s="1" t="n">
        <x:v>27922.05</x:v>
      </x:c>
      <x:c r="E18" s="1" t="n">
        <x:v>24239.18</x:v>
      </x:c>
      <x:c r="F18" s="2" t="n">
        <x:v>225</x:v>
      </x:c>
      <x:c r="G18" s="2" t="n">
        <x:v>200</x:v>
      </x:c>
      <x:c r="H18" s="1" t="n">
        <x:v>431.6</x:v>
      </x:c>
      <x:c r="I18" s="2" t="n">
        <x:v>19</x:v>
      </x:c>
      <x:c r="J18" s="2" t="n">
        <x:v>6</x:v>
      </x:c>
      <x:c r="K18" s="3" t="n">
        <x:v>0.08444444444444445</x:v>
      </x:c>
      <x:c r="L18" s="3" t="n">
        <x:v>-0.03072868650751781</x:v>
      </x:c>
    </x:row>
    <x:row r="19">
      <x:c r="A19" t="str">
        <x:v>2025-06</x:v>
      </x:c>
      <x:c r="B19" s="1" t="n">
        <x:v>124668.61</x:v>
      </x:c>
      <x:c r="C19" s="1" t="n">
        <x:v>104249.15</x:v>
      </x:c>
      <x:c r="D19" s="1" t="n">
        <x:v>33133.97</x:v>
      </x:c>
      <x:c r="E19" s="1" t="n">
        <x:v>29682.49</x:v>
      </x:c>
      <x:c r="F19" s="2" t="n">
        <x:v>217</x:v>
      </x:c>
      <x:c r="G19" s="2" t="n">
        <x:v>197</x:v>
      </x:c>
      <x:c r="H19" s="1" t="n">
        <x:v>529.18</x:v>
      </x:c>
      <x:c r="I19" s="2" t="n">
        <x:v>12</x:v>
      </x:c>
      <x:c r="J19" s="2" t="n">
        <x:v>8</x:v>
      </x:c>
      <x:c r="K19" s="3" t="n">
        <x:v>0.055299539170506916</x:v>
      </x:c>
      <x:c r="L19" s="3" t="n">
        <x:v>0.2077169338672855</x:v>
      </x:c>
    </x:row>
    <x:row r="20">
      <x:c r="A20" t="str">
        <x:v>2025-07</x:v>
      </x:c>
      <x:c r="B20" s="1" t="n">
        <x:v>125297.34</x:v>
      </x:c>
      <x:c r="C20" s="1" t="n">
        <x:v>99122.67</x:v>
      </x:c>
      <x:c r="D20" s="1" t="n">
        <x:v>30952.37</x:v>
      </x:c>
      <x:c r="E20" s="1" t="n">
        <x:v>26887.53</x:v>
      </x:c>
      <x:c r="F20" s="2" t="n">
        <x:v>231</x:v>
      </x:c>
      <x:c r="G20" s="2" t="n">
        <x:v>208</x:v>
      </x:c>
      <x:c r="H20" s="1" t="n">
        <x:v>476.55</x:v>
      </x:c>
      <x:c r="I20" s="2" t="n">
        <x:v>19</x:v>
      </x:c>
      <x:c r="J20" s="2" t="n">
        <x:v>4</x:v>
      </x:c>
      <x:c r="K20" s="3" t="n">
        <x:v>0.08225108225108226</x:v>
      </x:c>
      <x:c r="L20" s="3" t="n">
        <x:v>-0.04917531678111786</x:v>
      </x:c>
    </x:row>
    <x:row r="21">
      <x:c r="A21" t="str">
        <x:v>2025-08</x:v>
      </x:c>
      <x:c r="B21" s="1" t="n">
        <x:v>106445.91</x:v>
      </x:c>
      <x:c r="C21" s="1" t="n">
        <x:v>87465.88</x:v>
      </x:c>
      <x:c r="D21" s="1" t="n">
        <x:v>27688.69</x:v>
      </x:c>
      <x:c r="E21" s="1" t="n">
        <x:v>24269.12</x:v>
      </x:c>
      <x:c r="F21" s="2" t="n">
        <x:v>200</x:v>
      </x:c>
      <x:c r="G21" s="2" t="n">
        <x:v>178</x:v>
      </x:c>
      <x:c r="H21" s="1" t="n">
        <x:v>491.38</x:v>
      </x:c>
      <x:c r="I21" s="2" t="n">
        <x:v>16</x:v>
      </x:c>
      <x:c r="J21" s="2" t="n">
        <x:v>6</x:v>
      </x:c>
      <x:c r="K21" s="3" t="n">
        <x:v>0.08</x:v>
      </x:c>
      <x:c r="L21" s="3" t="n">
        <x:v>-0.11759962205616825</x:v>
      </x:c>
    </x:row>
    <x:row r="22">
      <x:c r="A22" t="str">
        <x:v>2025-09</x:v>
      </x:c>
      <x:c r="B22" s="1" t="n">
        <x:v>124414.93</x:v>
      </x:c>
      <x:c r="C22" s="1" t="n">
        <x:v>100250.32</x:v>
      </x:c>
      <x:c r="D22" s="1" t="n">
        <x:v>31570.03</x:v>
      </x:c>
      <x:c r="E22" s="1" t="n">
        <x:v>27632.44</x:v>
      </x:c>
      <x:c r="F22" s="2" t="n">
        <x:v>232</x:v>
      </x:c>
      <x:c r="G22" s="2" t="n">
        <x:v>200</x:v>
      </x:c>
      <x:c r="H22" s="1" t="n">
        <x:v>501.25</x:v>
      </x:c>
      <x:c r="I22" s="2" t="n">
        <x:v>21</x:v>
      </x:c>
      <x:c r="J22" s="2" t="n">
        <x:v>11</x:v>
      </x:c>
      <x:c r="K22" s="3" t="n">
        <x:v>0.09051724137931035</x:v>
      </x:c>
      <x:c r="L22" s="3" t="n">
        <x:v>0.14616496587483474</x:v>
      </x:c>
    </x:row>
    <x:row r="23">
      <x:c r="A23" t="str">
        <x:v>2025-10</x:v>
      </x:c>
      <x:c r="B23" s="1" t="n">
        <x:v>109002.2</x:v>
      </x:c>
      <x:c r="C23" s="1" t="n">
        <x:v>87214.65</x:v>
      </x:c>
      <x:c r="D23" s="1" t="n">
        <x:v>28961.67</x:v>
      </x:c>
      <x:c r="E23" s="1" t="n">
        <x:v>25597.02</x:v>
      </x:c>
      <x:c r="F23" s="2" t="n">
        <x:v>226</x:v>
      </x:c>
      <x:c r="G23" s="2" t="n">
        <x:v>202</x:v>
      </x:c>
      <x:c r="H23" s="1" t="n">
        <x:v>431.76</x:v>
      </x:c>
      <x:c r="I23" s="2" t="n">
        <x:v>11</x:v>
      </x:c>
      <x:c r="J23" s="2" t="n">
        <x:v>13</x:v>
      </x:c>
      <x:c r="K23" s="3" t="n">
        <x:v>0.048672566371681415</x:v>
      </x:c>
      <x:c r="L23" s="3" t="n">
        <x:v>-0.13003127486135968</x:v>
      </x:c>
    </x:row>
    <x:row r="24">
      <x:c r="A24" t="str">
        <x:v>2025-11</x:v>
      </x:c>
      <x:c r="B24" s="1" t="n">
        <x:v>113754</x:v>
      </x:c>
      <x:c r="C24" s="1" t="n">
        <x:v>92226.59</x:v>
      </x:c>
      <x:c r="D24" s="1" t="n">
        <x:v>29828.55</x:v>
      </x:c>
      <x:c r="E24" s="1" t="n">
        <x:v>26226.08</x:v>
      </x:c>
      <x:c r="F24" s="2" t="n">
        <x:v>233</x:v>
      </x:c>
      <x:c r="G24" s="2" t="n">
        <x:v>203</x:v>
      </x:c>
      <x:c r="H24" s="1" t="n">
        <x:v>454.32</x:v>
      </x:c>
      <x:c r="I24" s="2" t="n">
        <x:v>17</x:v>
      </x:c>
      <x:c r="J24" s="2" t="n">
        <x:v>13</x:v>
      </x:c>
      <x:c r="K24" s="3" t="n">
        <x:v>0.07296137339055794</x:v>
      </x:c>
      <x:c r="L24" s="3" t="n">
        <x:v>0.05746676358158109</x:v>
      </x:c>
    </x:row>
    <x:row r="25">
      <x:c r="A25" t="str">
        <x:v>2025-12</x:v>
      </x:c>
      <x:c r="B25" s="1" t="n">
        <x:v>100402.04</x:v>
      </x:c>
      <x:c r="C25" s="1" t="n">
        <x:v>85709.07</x:v>
      </x:c>
      <x:c r="D25" s="1" t="n">
        <x:v>27574.7</x:v>
      </x:c>
      <x:c r="E25" s="1" t="n">
        <x:v>24739.49</x:v>
      </x:c>
      <x:c r="F25" s="2" t="n">
        <x:v>193</x:v>
      </x:c>
      <x:c r="G25" s="2" t="n">
        <x:v>173</x:v>
      </x:c>
      <x:c r="H25" s="1" t="n">
        <x:v>495.43</x:v>
      </x:c>
      <x:c r="I25" s="2" t="n">
        <x:v>13</x:v>
      </x:c>
      <x:c r="J25" s="2" t="n">
        <x:v>7</x:v>
      </x:c>
      <x:c r="K25" s="3" t="n">
        <x:v>0.06735751295336788</x:v>
      </x:c>
      <x:c r="L25" s="3" t="n">
        <x:v>-0.07066854542346035</x:v>
      </x:c>
    </x:row>
  </x:sheetData>
  <x:pageMargins left="0.7" right="0.7" top="0.75" bottom="0.75" header="0.3" footer="0.3"/>
  <x:tableParts count="1">
    <x:tablePart xmlns:r="http://schemas.openxmlformats.org/officeDocument/2006/relationships" r:id="R766b414db2794a8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12.880000114440918" hidden="0" customWidth="1"/>
    <x:col min="3" max="3" width="12" hidden="0" customWidth="1"/>
    <x:col min="4" max="4" width="17.3799991607666" hidden="0" customWidth="1"/>
    <x:col min="5" max="5" width="13.130000114440918" hidden="0" customWidth="1"/>
    <x:col min="6" max="6" width="8.25" hidden="0" customWidth="1"/>
  </x:cols>
  <x:sheetData>
    <x:row r="1">
      <x:c r="A1" t="str">
        <x:v>Name</x:v>
      </x:c>
      <x:c r="B1" t="str">
        <x:v>Net Revenue</x:v>
      </x:c>
      <x:c r="C1" t="str">
        <x:v>Gross Profit</x:v>
      </x:c>
      <x:c r="D1" t="str">
        <x:v>Contribution Profit</x:v>
      </x:c>
      <x:c r="E1" t="str">
        <x:v>Lost Revenue</x:v>
      </x:c>
      <x:c r="F1" t="str">
        <x:v>Orders</x:v>
      </x:c>
    </x:row>
    <x:row r="2">
      <x:c r="A2" t="str">
        <x:v>Furniture</x:v>
      </x:c>
      <x:c r="B2" s="1" t="n">
        <x:v>821598.95</x:v>
      </x:c>
      <x:c r="C2" s="1" t="n">
        <x:v>280104.1</x:v>
      </x:c>
      <x:c r="D2" s="1" t="n">
        <x:v>252717.57</x:v>
      </x:c>
      <x:c r="E2" s="1" t="n">
        <x:v>135641.15</x:v>
      </x:c>
      <x:c r="F2" s="2" t="n">
        <x:v>1775</x:v>
      </x:c>
    </x:row>
    <x:row r="3">
      <x:c r="A3" t="str">
        <x:v>Electronics</x:v>
      </x:c>
      <x:c r="B3" s="1" t="n">
        <x:v>813169.54</x:v>
      </x:c>
      <x:c r="C3" s="1" t="n">
        <x:v>229336.02</x:v>
      </x:c>
      <x:c r="D3" s="1" t="n">
        <x:v>207347.3</x:v>
      </x:c>
      <x:c r="E3" s="1" t="n">
        <x:v>85291.96</x:v>
      </x:c>
      <x:c r="F3" s="2" t="n">
        <x:v>2007</x:v>
      </x:c>
    </x:row>
    <x:row r="4">
      <x:c r="A4" t="str">
        <x:v>Home &amp; Kitchen</x:v>
      </x:c>
      <x:c r="B4" s="1" t="n">
        <x:v>408915.36</x:v>
      </x:c>
      <x:c r="C4" s="1" t="n">
        <x:v>139171.3</x:v>
      </x:c>
      <x:c r="D4" s="1" t="n">
        <x:v>123328.64</x:v>
      </x:c>
      <x:c r="E4" s="1" t="n">
        <x:v>42507.2</x:v>
      </x:c>
      <x:c r="F4" s="2" t="n">
        <x:v>1772</x:v>
      </x:c>
    </x:row>
    <x:row r="5">
      <x:c r="A5" t="str">
        <x:v>Office Supplies</x:v>
      </x:c>
      <x:c r="B5" s="1" t="n">
        <x:v>181273.75</x:v>
      </x:c>
      <x:c r="C5" s="1" t="n">
        <x:v>67558.81</x:v>
      </x:c>
      <x:c r="D5" s="1" t="n">
        <x:v>48216.52</x:v>
      </x:c>
      <x:c r="E5" s="1" t="n">
        <x:v>18282.08</x:v>
      </x:c>
      <x:c r="F5" s="2" t="n">
        <x:v>2369</x:v>
      </x:c>
    </x:row>
  </x:sheetData>
  <x:pageMargins left="0.7" right="0.7" top="0.75" bottom="0.75" header="0.3" footer="0.3"/>
  <x:tableParts count="1">
    <x:tablePart xmlns:r="http://schemas.openxmlformats.org/officeDocument/2006/relationships" r:id="Reafaa85ac45342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12.880000114440918" hidden="0" customWidth="1"/>
    <x:col min="3" max="3" width="12" hidden="0" customWidth="1"/>
    <x:col min="4" max="4" width="17.3799991607666" hidden="0" customWidth="1"/>
    <x:col min="5" max="5" width="13.130000114440918" hidden="0" customWidth="1"/>
    <x:col min="6" max="6" width="8.25" hidden="0" customWidth="1"/>
  </x:cols>
  <x:sheetData>
    <x:row r="1">
      <x:c r="A1" t="str">
        <x:v>Name</x:v>
      </x:c>
      <x:c r="B1" t="str">
        <x:v>Net Revenue</x:v>
      </x:c>
      <x:c r="C1" t="str">
        <x:v>Gross Profit</x:v>
      </x:c>
      <x:c r="D1" t="str">
        <x:v>Contribution Profit</x:v>
      </x:c>
      <x:c r="E1" t="str">
        <x:v>Lost Revenue</x:v>
      </x:c>
      <x:c r="F1" t="str">
        <x:v>Orders</x:v>
      </x:c>
    </x:row>
    <x:row r="2">
      <x:c r="A2" t="str">
        <x:v>South</x:v>
      </x:c>
      <x:c r="B2" s="1" t="n">
        <x:v>718372.18</x:v>
      </x:c>
      <x:c r="C2" s="1" t="n">
        <x:v>230914.16</x:v>
      </x:c>
      <x:c r="D2" s="1" t="n">
        <x:v>205087.85</x:v>
      </x:c>
      <x:c r="E2" s="1" t="n">
        <x:v>74212.08</x:v>
      </x:c>
      <x:c r="F2" s="2" t="n">
        <x:v>1634</x:v>
      </x:c>
    </x:row>
    <x:row r="3">
      <x:c r="A3" t="str">
        <x:v>West</x:v>
      </x:c>
      <x:c r="B3" s="1" t="n">
        <x:v>635497.41</x:v>
      </x:c>
      <x:c r="C3" s="1" t="n">
        <x:v>205145.53</x:v>
      </x:c>
      <x:c r="D3" s="1" t="n">
        <x:v>180096.99</x:v>
      </x:c>
      <x:c r="E3" s="1" t="n">
        <x:v>83806.66</x:v>
      </x:c>
      <x:c r="F3" s="2" t="n">
        <x:v>1494</x:v>
      </x:c>
    </x:row>
    <x:row r="4">
      <x:c r="A4" t="str">
        <x:v>North</x:v>
      </x:c>
      <x:c r="B4" s="1" t="n">
        <x:v>559339.77</x:v>
      </x:c>
      <x:c r="C4" s="1" t="n">
        <x:v>180776.76</x:v>
      </x:c>
      <x:c r="D4" s="1" t="n">
        <x:v>159928.95</x:v>
      </x:c>
      <x:c r="E4" s="1" t="n">
        <x:v>67276.52</x:v>
      </x:c>
      <x:c r="F4" s="2" t="n">
        <x:v>1275</x:v>
      </x:c>
    </x:row>
    <x:row r="5">
      <x:c r="A5" t="str">
        <x:v>Central</x:v>
      </x:c>
      <x:c r="B5" s="1" t="n">
        <x:v>311748.24</x:v>
      </x:c>
      <x:c r="C5" s="1" t="n">
        <x:v>99333.77</x:v>
      </x:c>
      <x:c r="D5" s="1" t="n">
        <x:v>86496.24</x:v>
      </x:c>
      <x:c r="E5" s="1" t="n">
        <x:v>56427.15</x:v>
      </x:c>
      <x:c r="F5" s="2" t="n">
        <x:v>797</x:v>
      </x:c>
    </x:row>
  </x:sheetData>
  <x:pageMargins left="0.7" right="0.7" top="0.75" bottom="0.75" header="0.3" footer="0.3"/>
  <x:tableParts count="1">
    <x:tablePart xmlns:r="http://schemas.openxmlformats.org/officeDocument/2006/relationships" r:id="Ra8a18829b47d458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15.380000114440918" hidden="0" customWidth="1"/>
    <x:col min="3" max="3" width="11.380000114440918" hidden="0" customWidth="1"/>
    <x:col min="4" max="4" width="12.880000114440918" hidden="0" customWidth="1"/>
    <x:col min="5" max="5" width="12" hidden="0" customWidth="1"/>
    <x:col min="6" max="6" width="8.25" hidden="0" customWidth="1"/>
  </x:cols>
  <x:sheetData>
    <x:row r="1">
      <x:c r="A1" t="str">
        <x:v>Customer ID</x:v>
      </x:c>
      <x:c r="B1" t="str">
        <x:v>Customer Name</x:v>
      </x:c>
      <x:c r="C1" t="str">
        <x:v>Segment</x:v>
      </x:c>
      <x:c r="D1" t="str">
        <x:v>Net Revenue</x:v>
      </x:c>
      <x:c r="E1" t="str">
        <x:v>Gross Profit</x:v>
      </x:c>
      <x:c r="F1" t="str">
        <x:v>Orders</x:v>
      </x:c>
    </x:row>
    <x:row r="2">
      <x:c r="A2" t="str">
        <x:v>C0052</x:v>
      </x:c>
      <x:c r="B2" t="str">
        <x:v>Elijah Singh</x:v>
      </x:c>
      <x:c r="C2" t="str">
        <x:v>Corporate</x:v>
      </x:c>
      <x:c r="D2" s="1" t="n">
        <x:v>20646.13</x:v>
      </x:c>
      <x:c r="E2" s="1" t="n">
        <x:v>5967.18</x:v>
      </x:c>
      <x:c r="F2" s="2" t="n">
        <x:v>39</x:v>
      </x:c>
    </x:row>
    <x:row r="3">
      <x:c r="A3" t="str">
        <x:v>C0580</x:v>
      </x:c>
      <x:c r="B3" t="str">
        <x:v>Ethan Singh</x:v>
      </x:c>
      <x:c r="C3" t="str">
        <x:v>Consumer</x:v>
      </x:c>
      <x:c r="D3" s="1" t="n">
        <x:v>19031.34</x:v>
      </x:c>
      <x:c r="E3" s="1" t="n">
        <x:v>6226.52</x:v>
      </x:c>
      <x:c r="F3" s="2" t="n">
        <x:v>40</x:v>
      </x:c>
    </x:row>
    <x:row r="4">
      <x:c r="A4" t="str">
        <x:v>C0581</x:v>
      </x:c>
      <x:c r="B4" t="str">
        <x:v>Leo Davis</x:v>
      </x:c>
      <x:c r="C4" t="str">
        <x:v>Consumer</x:v>
      </x:c>
      <x:c r="D4" s="1" t="n">
        <x:v>18476.84</x:v>
      </x:c>
      <x:c r="E4" s="1" t="n">
        <x:v>6078.59</x:v>
      </x:c>
      <x:c r="F4" s="2" t="n">
        <x:v>26</x:v>
      </x:c>
    </x:row>
    <x:row r="5">
      <x:c r="A5" t="str">
        <x:v>C0348</x:v>
      </x:c>
      <x:c r="B5" t="str">
        <x:v>Emma Patel</x:v>
      </x:c>
      <x:c r="C5" t="str">
        <x:v>Small Business</x:v>
      </x:c>
      <x:c r="D5" s="1" t="n">
        <x:v>17931.48</x:v>
      </x:c>
      <x:c r="E5" s="1" t="n">
        <x:v>6098.36</x:v>
      </x:c>
      <x:c r="F5" s="2" t="n">
        <x:v>36</x:v>
      </x:c>
    </x:row>
    <x:row r="6">
      <x:c r="A6" t="str">
        <x:v>C0213</x:v>
      </x:c>
      <x:c r="B6" t="str">
        <x:v>Ava Davis</x:v>
      </x:c>
      <x:c r="C6" t="str">
        <x:v>Corporate</x:v>
      </x:c>
      <x:c r="D6" s="1" t="n">
        <x:v>17577.9</x:v>
      </x:c>
      <x:c r="E6" s="1" t="n">
        <x:v>5226.9</x:v>
      </x:c>
      <x:c r="F6" s="2" t="n">
        <x:v>27</x:v>
      </x:c>
    </x:row>
    <x:row r="7">
      <x:c r="A7" t="str">
        <x:v>C0557</x:v>
      </x:c>
      <x:c r="B7" t="str">
        <x:v>Lucas Kim</x:v>
      </x:c>
      <x:c r="C7" t="str">
        <x:v>Consumer</x:v>
      </x:c>
      <x:c r="D7" s="1" t="n">
        <x:v>16264.99</x:v>
      </x:c>
      <x:c r="E7" s="1" t="n">
        <x:v>5103.9</x:v>
      </x:c>
      <x:c r="F7" s="2" t="n">
        <x:v>31</x:v>
      </x:c>
    </x:row>
    <x:row r="8">
      <x:c r="A8" t="str">
        <x:v>C0552</x:v>
      </x:c>
      <x:c r="B8" t="str">
        <x:v>Elijah Harris</x:v>
      </x:c>
      <x:c r="C8" t="str">
        <x:v>Consumer</x:v>
      </x:c>
      <x:c r="D8" s="1" t="n">
        <x:v>15082.39</x:v>
      </x:c>
      <x:c r="E8" s="1" t="n">
        <x:v>4885.98</x:v>
      </x:c>
      <x:c r="F8" s="2" t="n">
        <x:v>25</x:v>
      </x:c>
    </x:row>
    <x:row r="9">
      <x:c r="A9" t="str">
        <x:v>C0033</x:v>
      </x:c>
      <x:c r="B9" t="str">
        <x:v>Amelia Clark</x:v>
      </x:c>
      <x:c r="C9" t="str">
        <x:v>Consumer</x:v>
      </x:c>
      <x:c r="D9" s="1" t="n">
        <x:v>14937.72</x:v>
      </x:c>
      <x:c r="E9" s="1" t="n">
        <x:v>5224.77</x:v>
      </x:c>
      <x:c r="F9" s="2" t="n">
        <x:v>30</x:v>
      </x:c>
    </x:row>
    <x:row r="10">
      <x:c r="A10" t="str">
        <x:v>C0460</x:v>
      </x:c>
      <x:c r="B10" t="str">
        <x:v>Emma Patel</x:v>
      </x:c>
      <x:c r="C10" t="str">
        <x:v>Consumer</x:v>
      </x:c>
      <x:c r="D10" s="1" t="n">
        <x:v>14920.14</x:v>
      </x:c>
      <x:c r="E10" s="1" t="n">
        <x:v>4961.51</x:v>
      </x:c>
      <x:c r="F10" s="2" t="n">
        <x:v>25</x:v>
      </x:c>
    </x:row>
    <x:row r="11">
      <x:c r="A11" t="str">
        <x:v>C0161</x:v>
      </x:c>
      <x:c r="B11" t="str">
        <x:v>Zoe Lewis</x:v>
      </x:c>
      <x:c r="C11" t="str">
        <x:v>Consumer</x:v>
      </x:c>
      <x:c r="D11" s="1" t="n">
        <x:v>14661.46</x:v>
      </x:c>
      <x:c r="E11" s="1" t="n">
        <x:v>4950.32</x:v>
      </x:c>
      <x:c r="F11" s="2" t="n">
        <x:v>32</x:v>
      </x:c>
    </x:row>
    <x:row r="12">
      <x:c r="A12" t="str">
        <x:v>C0178</x:v>
      </x:c>
      <x:c r="B12" t="str">
        <x:v>Elijah Harris</x:v>
      </x:c>
      <x:c r="C12" t="str">
        <x:v>Small Business</x:v>
      </x:c>
      <x:c r="D12" s="1" t="n">
        <x:v>14621.17</x:v>
      </x:c>
      <x:c r="E12" s="1" t="n">
        <x:v>5072.18</x:v>
      </x:c>
      <x:c r="F12" s="2" t="n">
        <x:v>26</x:v>
      </x:c>
    </x:row>
    <x:row r="13">
      <x:c r="A13" t="str">
        <x:v>C0226</x:v>
      </x:c>
      <x:c r="B13" t="str">
        <x:v>Emma Moore</x:v>
      </x:c>
      <x:c r="C13" t="str">
        <x:v>Small Business</x:v>
      </x:c>
      <x:c r="D13" s="1" t="n">
        <x:v>14395.22</x:v>
      </x:c>
      <x:c r="E13" s="1" t="n">
        <x:v>4832.55</x:v>
      </x:c>
      <x:c r="F13" s="2" t="n">
        <x:v>34</x:v>
      </x:c>
    </x:row>
    <x:row r="14">
      <x:c r="A14" t="str">
        <x:v>C0546</x:v>
      </x:c>
      <x:c r="B14" t="str">
        <x:v>Ethan Anderson</x:v>
      </x:c>
      <x:c r="C14" t="str">
        <x:v>Corporate</x:v>
      </x:c>
      <x:c r="D14" s="1" t="n">
        <x:v>14351.44</x:v>
      </x:c>
      <x:c r="E14" s="1" t="n">
        <x:v>4118.2</x:v>
      </x:c>
      <x:c r="F14" s="2" t="n">
        <x:v>33</x:v>
      </x:c>
    </x:row>
    <x:row r="15">
      <x:c r="A15" t="str">
        <x:v>C0295</x:v>
      </x:c>
      <x:c r="B15" t="str">
        <x:v>Noah Anderson</x:v>
      </x:c>
      <x:c r="C15" t="str">
        <x:v>Consumer</x:v>
      </x:c>
      <x:c r="D15" s="1" t="n">
        <x:v>13970.04</x:v>
      </x:c>
      <x:c r="E15" s="1" t="n">
        <x:v>4750.77</x:v>
      </x:c>
      <x:c r="F15" s="2" t="n">
        <x:v>20</x:v>
      </x:c>
    </x:row>
    <x:row r="16">
      <x:c r="A16" t="str">
        <x:v>C0330</x:v>
      </x:c>
      <x:c r="B16" t="str">
        <x:v>Emma Moore</x:v>
      </x:c>
      <x:c r="C16" t="str">
        <x:v>Consumer</x:v>
      </x:c>
      <x:c r="D16" s="1" t="n">
        <x:v>13882.31</x:v>
      </x:c>
      <x:c r="E16" s="1" t="n">
        <x:v>4793.17</x:v>
      </x:c>
      <x:c r="F16" s="2" t="n">
        <x:v>36</x:v>
      </x:c>
    </x:row>
    <x:row r="17">
      <x:c r="A17" t="str">
        <x:v>C0278</x:v>
      </x:c>
      <x:c r="B17" t="str">
        <x:v>Sophia Jackson</x:v>
      </x:c>
      <x:c r="C17" t="str">
        <x:v>Consumer</x:v>
      </x:c>
      <x:c r="D17" s="1" t="n">
        <x:v>13710.95</x:v>
      </x:c>
      <x:c r="E17" s="1" t="n">
        <x:v>4465.58</x:v>
      </x:c>
      <x:c r="F17" s="2" t="n">
        <x:v>28</x:v>
      </x:c>
    </x:row>
    <x:row r="18">
      <x:c r="A18" t="str">
        <x:v>C0617</x:v>
      </x:c>
      <x:c r="B18" t="str">
        <x:v>Mia Walker</x:v>
      </x:c>
      <x:c r="C18" t="str">
        <x:v>Small Business</x:v>
      </x:c>
      <x:c r="D18" s="1" t="n">
        <x:v>13461.99</x:v>
      </x:c>
      <x:c r="E18" s="1" t="n">
        <x:v>4395.58</x:v>
      </x:c>
      <x:c r="F18" s="2" t="n">
        <x:v>26</x:v>
      </x:c>
    </x:row>
    <x:row r="19">
      <x:c r="A19" t="str">
        <x:v>C0201</x:v>
      </x:c>
      <x:c r="B19" t="str">
        <x:v>Leo Clark</x:v>
      </x:c>
      <x:c r="C19" t="str">
        <x:v>Consumer</x:v>
      </x:c>
      <x:c r="D19" s="1" t="n">
        <x:v>13403.1</x:v>
      </x:c>
      <x:c r="E19" s="1" t="n">
        <x:v>4441.19</x:v>
      </x:c>
      <x:c r="F19" s="2" t="n">
        <x:v>25</x:v>
      </x:c>
    </x:row>
    <x:row r="20">
      <x:c r="A20" t="str">
        <x:v>C0563</x:v>
      </x:c>
      <x:c r="B20" t="str">
        <x:v>Amelia Davis</x:v>
      </x:c>
      <x:c r="C20" t="str">
        <x:v>Small Business</x:v>
      </x:c>
      <x:c r="D20" s="1" t="n">
        <x:v>13145.52</x:v>
      </x:c>
      <x:c r="E20" s="1" t="n">
        <x:v>4193.84</x:v>
      </x:c>
      <x:c r="F20" s="2" t="n">
        <x:v>28</x:v>
      </x:c>
    </x:row>
    <x:row r="21">
      <x:c r="A21" t="str">
        <x:v>C0483</x:v>
      </x:c>
      <x:c r="B21" t="str">
        <x:v>Sophia Brown</x:v>
      </x:c>
      <x:c r="C21" t="str">
        <x:v>Consumer</x:v>
      </x:c>
      <x:c r="D21" s="1" t="n">
        <x:v>13112.04</x:v>
      </x:c>
      <x:c r="E21" s="1" t="n">
        <x:v>4235.83</x:v>
      </x:c>
      <x:c r="F21" s="2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c5eecfe5f66d4e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9.380000114440918" hidden="0" customWidth="1"/>
    <x:col min="3" max="3" width="16.3799991607666" hidden="0" customWidth="1"/>
    <x:col min="4" max="4" width="7.75" hidden="0" customWidth="1"/>
  </x:cols>
  <x:sheetData>
    <x:row r="1">
      <x:c r="A1" t="str">
        <x:v>Check</x:v>
      </x:c>
      <x:c r="B1" t="str">
        <x:v>Actual</x:v>
      </x:c>
      <x:c r="C1" t="str">
        <x:v>Expected</x:v>
      </x:c>
      <x:c r="D1" t="str">
        <x:v>Status</x:v>
      </x:c>
    </x:row>
    <x:row r="2">
      <x:c r="A2" t="str">
        <x:v>Orders</x:v>
      </x:c>
      <x:c r="B2" t="n">
        <x:v>5200</x:v>
      </x:c>
      <x:c r="C2" t="n">
        <x:v>5200</x:v>
      </x:c>
      <x:c r="D2" t="str">
        <x:v>Pass</x:v>
      </x:c>
    </x:row>
    <x:row r="3">
      <x:c r="A3" t="str">
        <x:v>Order items</x:v>
      </x:c>
      <x:c r="B3" t="n">
        <x:v>9139</x:v>
      </x:c>
      <x:c r="C3" t="str">
        <x:v>&gt; 0</x:v>
      </x:c>
      <x:c r="D3" t="str">
        <x:v>Pass</x:v>
      </x:c>
    </x:row>
    <x:row r="4">
      <x:c r="A4" t="str">
        <x:v>Duplicate order IDs</x:v>
      </x:c>
      <x:c r="B4" t="n">
        <x:v>0</x:v>
      </x:c>
      <x:c r="C4" t="n">
        <x:v>0</x:v>
      </x:c>
      <x:c r="D4" t="str">
        <x:v>Pass</x:v>
      </x:c>
    </x:row>
    <x:row r="5">
      <x:c r="A5" t="str">
        <x:v>Orphan order items</x:v>
      </x:c>
      <x:c r="B5" t="n">
        <x:v>0</x:v>
      </x:c>
      <x:c r="C5" t="n">
        <x:v>0</x:v>
      </x:c>
      <x:c r="D5" t="str">
        <x:v>Pass</x:v>
      </x:c>
    </x:row>
    <x:row r="6">
      <x:c r="A6" t="str">
        <x:v>Invalid product keys</x:v>
      </x:c>
      <x:c r="B6" t="n">
        <x:v>0</x:v>
      </x:c>
      <x:c r="C6" t="n">
        <x:v>0</x:v>
      </x:c>
      <x:c r="D6" t="str">
        <x:v>Pass</x:v>
      </x:c>
    </x:row>
    <x:row r="7">
      <x:c r="A7" t="str">
        <x:v>Invalid discounts</x:v>
      </x:c>
      <x:c r="B7" t="n">
        <x:v>0</x:v>
      </x:c>
      <x:c r="C7" t="n">
        <x:v>0</x:v>
      </x:c>
      <x:c r="D7" t="str">
        <x:v>Pass</x:v>
      </x:c>
    </x:row>
    <x:row r="8">
      <x:c r="A8" t="str">
        <x:v>Minimum order date</x:v>
      </x:c>
      <x:c r="B8" t="str">
        <x:v>2024-01-01</x:v>
      </x:c>
      <x:c r="C8" t="str">
        <x:v>2024-01-01 or later</x:v>
      </x:c>
      <x:c r="D8" t="str">
        <x:v>Pass</x:v>
      </x:c>
    </x:row>
    <x:row r="9">
      <x:c r="A9" t="str">
        <x:v>Maximum order date</x:v>
      </x:c>
      <x:c r="B9" t="str">
        <x:v>2025-12-30</x:v>
      </x:c>
      <x:c r="C9" t="str">
        <x:v>2025-12-31 or earlier</x:v>
      </x:c>
      <x:c r="D9" t="str">
        <x:v>Pass</x:v>
      </x:c>
    </x:row>
    <x:row r="10">
      <x:c r="A10" t="str">
        <x:v>Net revenue reconciliation</x:v>
      </x:c>
      <x:c r="B10" t="n">
        <x:v>2224957.61</x:v>
      </x:c>
      <x:c r="C10" t="n">
        <x:v>2224957.61</x:v>
      </x:c>
      <x:c r="D10" t="str">
        <x:v>Pass</x:v>
      </x:c>
    </x:row>
  </x:sheetData>
  <x:conditionalFormatting sqref="D2:D10">
    <x:cfRule type="containsText" dxfId="1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1cb0bdc0325f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4.880000114440918" hidden="0" customWidth="1"/>
    <x:col min="3" max="3" width="55" hidden="0" customWidth="1"/>
  </x:cols>
  <x:sheetData>
    <x:row r="1">
      <x:c r="A1" t="str">
        <x:v>Table</x:v>
      </x:c>
      <x:c r="B1" t="str">
        <x:v>Field</x:v>
      </x:c>
      <x:c r="C1" t="str">
        <x:v>Definition</x:v>
      </x:c>
    </x:row>
    <x:row r="2">
      <x:c r="A2" t="str">
        <x:v>orders</x:v>
      </x:c>
      <x:c r="B2" t="str">
        <x:v>order_status</x:v>
      </x:c>
      <x:c r="C2" s="34" t="str">
        <x:v>Completed, Returned, or Cancelled at order level</x:v>
      </x:c>
    </x:row>
    <x:row r="3">
      <x:c r="A3" t="str">
        <x:v>order_items</x:v>
      </x:c>
      <x:c r="B3" t="str">
        <x:v>discount_pct</x:v>
      </x:c>
      <x:c r="C3" s="34" t="str">
        <x:v>Line-level discount as a decimal</x:v>
      </x:c>
    </x:row>
    <x:row r="4">
      <x:c r="A4" t="str">
        <x:v>sales_fact</x:v>
      </x:c>
      <x:c r="B4" t="str">
        <x:v>gross_sales</x:v>
      </x:c>
      <x:c r="C4" s="34" t="str">
        <x:v>quantity × unit price</x:v>
      </x:c>
    </x:row>
    <x:row r="5">
      <x:c r="A5" t="str">
        <x:v>sales_fact</x:v>
      </x:c>
      <x:c r="B5" t="str">
        <x:v>booked_revenue</x:v>
      </x:c>
      <x:c r="C5" s="34" t="str">
        <x:v>gross sales less discount</x:v>
      </x:c>
    </x:row>
    <x:row r="6">
      <x:c r="A6" t="str">
        <x:v>sales_fact</x:v>
      </x:c>
      <x:c r="B6" t="str">
        <x:v>net_revenue</x:v>
      </x:c>
      <x:c r="C6" s="34" t="str">
        <x:v>booked revenue for completed orders; zero otherwise</x:v>
      </x:c>
    </x:row>
    <x:row r="7">
      <x:c r="A7" t="str">
        <x:v>sales_fact</x:v>
      </x:c>
      <x:c r="B7" t="str">
        <x:v>lost_revenue</x:v>
      </x:c>
      <x:c r="C7" s="34" t="str">
        <x:v>booked revenue removed by returns or cancellations</x:v>
      </x:c>
    </x:row>
    <x:row r="8">
      <x:c r="A8" t="str">
        <x:v>sales_fact</x:v>
      </x:c>
      <x:c r="B8" t="str">
        <x:v>cogs</x:v>
      </x:c>
      <x:c r="C8" s="34" t="str">
        <x:v>unit cost × quantity for completed orders</x:v>
      </x:c>
    </x:row>
    <x:row r="9">
      <x:c r="A9" t="str">
        <x:v>sales_fact</x:v>
      </x:c>
      <x:c r="B9" t="str">
        <x:v>gross_profit</x:v>
      </x:c>
      <x:c r="C9" s="34" t="str">
        <x:v>net revenue less COGS</x:v>
      </x:c>
    </x:row>
    <x:row r="10">
      <x:c r="A10" t="str">
        <x:v>sales_fact</x:v>
      </x:c>
      <x:c r="B10" t="str">
        <x:v>contribution_profit</x:v>
      </x:c>
      <x:c r="C10" s="34" t="str">
        <x:v>gross profit less allocated shipping and return/cancellation processing cost</x:v>
      </x:c>
    </x:row>
    <x:row r="11">
      <x:c r="A11" t="str">
        <x:v>orders</x:v>
      </x:c>
      <x:c r="B11" t="str">
        <x:v>delivery_days_late</x:v>
      </x:c>
      <x:c r="C11" s="34" t="str">
        <x:v>days actual delivery exceeded promised delivery date</x:v>
      </x:c>
    </x:row>
    <x:row r="12">
      <x:c r="A12" t="str">
        <x:v>targets</x:v>
      </x:c>
      <x:c r="B12" t="str">
        <x:v>revenue_target</x:v>
      </x:c>
      <x:c r="C12" s="34" t="str">
        <x:v>synthetic monthly revenue target by territory</x:v>
      </x:c>
    </x:row>
    <x:row r="13">
      <x:c r="A13" t="str">
        <x:v>customer</x:v>
      </x:c>
      <x:c r="B13" t="str">
        <x:v>RFM segment</x:v>
      </x:c>
      <x:c r="C13" s="34" t="str">
        <x:v>behavior segment based on recency, frequency, and monetary quintiles</x:v>
      </x:c>
    </x:row>
    <x:row r="14">
      <x:c r="A14" t="str">
        <x:v>project</x:v>
      </x:c>
      <x:c r="B14" t="str">
        <x:v>source</x:v>
      </x:c>
      <x:c r="C14" s="34" t="str">
        <x:v>Deterministic synthetic dataset generated for portfolio use</x:v>
      </x:c>
    </x:row>
    <x:row r="15">
      <x:c r="C15" s="34"/>
    </x:row>
    <x:row r="16">
      <x:c r="C16" s="34"/>
    </x:row>
    <x:row r="17">
      <x:c r="C17" s="34"/>
    </x:row>
    <x:row r="18">
      <x:c r="C18" s="34"/>
    </x:row>
    <x:row r="19">
      <x:c r="C19" s="34"/>
    </x:row>
    <x:row r="20">
      <x:c r="C20" s="34"/>
    </x:row>
  </x:sheetData>
  <x:pageMargins left="0.7" right="0.7" top="0.75" bottom="0.75" header="0.3" footer="0.3"/>
  <x:tableParts count="1">
    <x:tablePart xmlns:r="http://schemas.openxmlformats.org/officeDocument/2006/relationships" r:id="Rb0b639ed6ab44554"/>
  </x:tableParts>
</x:worksheet>
</file>